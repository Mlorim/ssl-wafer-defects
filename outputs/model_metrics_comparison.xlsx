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015329e09142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равнение моделей" sheetId="2" r:id="R21efa6d1a72144ea"/>
  </x:sheets>
</x:workbook>
</file>

<file path=xl/sharedStrings.xml><?xml version="1.0" encoding="utf-8"?>
<x:sst xmlns:x="http://schemas.openxmlformats.org/spreadsheetml/2006/main">
  <x:si>
    <x:t xml:space="preserve">Модель</x:t>
  </x:si>
  <x:si>
    <x:t xml:space="preserve">Датасет / протокол</x:t>
  </x:si>
  <x:si>
    <x:t xml:space="preserve">Авторы: Accuracy</x:t>
  </x:si>
  <x:si>
    <x:t xml:space="preserve">Авторы: Precision</x:t>
  </x:si>
  <x:si>
    <x:t xml:space="preserve">Авторы: Recall</x:t>
  </x:si>
  <x:si>
    <x:t xml:space="preserve">Авторы: F1</x:t>
  </x:si>
  <x:si>
    <x:t xml:space="preserve">Мой: Accuracy</x:t>
  </x:si>
  <x:si>
    <x:t xml:space="preserve">Мой: Precision</x:t>
  </x:si>
  <x:si>
    <x:t xml:space="preserve">Мой: Recall</x:t>
  </x:si>
  <x:si>
    <x:t xml:space="preserve">Мой: F1</x:t>
  </x:si>
  <x:si>
    <x:t xml:space="preserve">Δ Accuracy</x:t>
  </x:si>
  <x:si>
    <x:t xml:space="preserve">Δ Precision</x:t>
  </x:si>
  <x:si>
    <x:t xml:space="preserve">Δ Recall</x:t>
  </x:si>
  <x:si>
    <x:t xml:space="preserve">Δ F1</x:t>
  </x:si>
  <x:si>
    <x:t xml:space="preserve">Предполагаемые причины расхождения</x:t>
  </x:si>
  <x:si>
    <x:t xml:space="preserve">Baseline (ResNet-18)</x:t>
  </x:si>
  <x:si>
    <x:t xml:space="preserve">WM-811K; 10% labeled; SMOTE; random 80/20 split</x:t>
  </x:si>
  <x:si>
    <x:t xml:space="preserve">Большая разница в Accuracy связана с иным распределением test и сильным дисбалансом WM-811K.</x:t>
  </x:si>
  <x:si>
    <x:t xml:space="preserve">Mean Teacher</x:t>
  </x:si>
  <x:si>
    <x:t xml:space="preserve">WM-811K; 10% labeled + unlabeled; SMOTE; random 80/20 split</x:t>
  </x:si>
  <x:si>
    <x:t xml:space="preserve">Возможные дефекты: оценивается student вместо EMA-teacher (в статье не указано, какую именно модель они оценивали)</x:t>
  </x:si>
  <x:si>
    <x:t xml:space="preserve">VAE latent-vector representation</x:t>
  </x:si>
  <x:si>
    <x:t xml:space="preserve">WM-811K; 10% labeled; SMOTE; ResNet-50 teacher/student</x:t>
  </x:si>
  <x:si>
    <x:t xml:space="preserve">Статья не полностью задаёт расписание VAE и псевдоразметки; результат чувствителен к top-K, качеству учителя и дообучению. Возможно другое разбиение или усреднение метрик.</x:t>
  </x:si>
  <x:si>
    <x:t xml:space="preserve">CBAM-CNN</x:t>
  </x:si>
  <x:si>
    <x:t xml:space="preserve">WM-811K subset только native 26×26; train-only CAE augmentation</x:t>
  </x:si>
  <x:si>
    <x:t xml:space="preserve">Очень малая и крайне редкая подвыборка карт исходного размера 26×26; честное разбиение оставляет единицы образцов некоторых классов. В статье вероятна утечка через CAE-аугментацию или использована другая выборка.</x:t>
  </x:si>
  <x:si>
    <x:t xml:space="preserve">SemiWaferNet Hybrid CNN–ViT</x:t>
  </x:si>
  <x:si>
    <x:t xml:space="preserve">WM-811K official split; 32×32; balanced labeled + 150k unlabeled</x:t>
  </x:si>
  <x:si>
    <x:t xml:space="preserve">Слабый исходный учитель и ошибки псевдоразметки накапливаются по стадиям; не описаны пороги и расписание. Возможны другая официальная подвыборка и утечка при повторной выборке данных.</x:t>
  </x:si>
  <x:si>
    <x:t xml:space="preserve">MM-WAE</x:t>
  </x:si>
  <x:si>
    <x:t xml:space="preserve">WM-811K; leakage-safe stratified 70/10/20; 10% labeled; 32×32</x:t>
  </x:si>
  <x:si>
    <x:t xml:space="preserve">Accuracy близка, но макроусреднённые метрики проседают на Scratch и Loc типам дефектов; результат чувствителен к весам функций потерь, ширине ядра MMD, весам классов и разбиению.</x:t>
  </x:si>
  <x:si>
    <x:t xml:space="preserve">MobileNetV3-Small (Efficient CNN)</x:t>
  </x:si>
  <x:si>
    <x:t xml:space="preserve">WM-811K labeled; leakage-safe 80/20 + 4-fold; train-only oversampling; 224×224</x:t>
  </x:si>
  <x:si>
    <x:t xml:space="preserve">Статья не указывает использование предобученных весов, число эпох, планировщик скорости обучения и параметры аугментаций. Возможна утечка из-за аугментации до разбиения; основной разрыв — в precision редких классов.</x:t>
  </x:si>
  <x:si>
    <x:t xml:space="preserve">ClimEx (ResNet-18)</x:t>
  </x:si>
  <x:si>
    <x:t xml:space="preserve">WM-811K; 10% labeled train (13 836) + 638 507 unlabeled; stratified 80/10/10; 96×96</x:t>
  </x:si>
  <x:si>
    <x:t xml:space="preserve">Основные причины: статья не задаёт параметры rotation, cutout и noise в аугментации; постоянный LR.</x:t>
  </x:si>
</x:sst>
</file>

<file path=xl/styles.xml><?xml version="1.0" encoding="utf-8"?>
<x:styleSheet xmlns:x="http://schemas.openxmlformats.org/spreadsheetml/2006/main">
  <x:numFmts count="5">
    <x:numFmt numFmtId="176" formatCode="_-* #,##0.00_р_._-;\-* #,##0.00_р_._-;_-* \-??_р_._-;_-@_-"/>
    <x:numFmt numFmtId="177" formatCode="_-* #,##0.00&quot;р.&quot;_-;\-* #,##0.00&quot;р.&quot;_-;_-* \-??&quot;р.&quot;_-;_-@_-"/>
    <x:numFmt numFmtId="178" formatCode="_-* #,##0_р_._-;\-* #,##0_р_._-;_-* \-_р_._-;_-@_-"/>
    <x:numFmt numFmtId="179" formatCode="_-* #,##0&quot;р.&quot;_-;\-* #,##0&quot;р.&quot;_-;_-* &quot;-р.&quot;_-;_-@_-"/>
    <x:numFmt numFmtId="200" formatCode="0.00%"/>
  </x:numFmts>
  <x:fonts count="30">
    <x:font>
      <x:sz val="10"/>
      <x:name val="Arial"/>
    </x:font>
    <x:font>
      <x:b/>
      <x:sz val="11"/>
      <x:color rgb="FFFFFFFF"/>
      <x:name val="Calibri"/>
    </x:font>
    <x:font>
      <x:sz val="1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1"/>
      <x:color rgb="FF1F1F1F"/>
      <x:name val="Calibri"/>
    </x:font>
    <x:font>
      <x:b/>
      <x:sz val="8"/>
      <x:color rgb="FF1F1F1F"/>
      <x:name val="Calibri"/>
    </x:font>
    <x:font>
      <x:sz val="8"/>
      <x:color rgb="FF1F1F1F"/>
      <x:name val="Calibri"/>
    </x:font>
    <x:font>
      <x:b/>
      <x:sz val="8"/>
      <x:color rgb="FFFFFFFF"/>
      <x:name val="Calibri"/>
    </x:font>
    <x:font>
      <x:b/>
      <x:sz val="7"/>
      <x:color rgb="FF1F1F1F"/>
      <x:name val="Calibri"/>
    </x:font>
    <x:font>
      <x:sz val="7"/>
      <x:color rgb="FF1F1F1F"/>
      <x:name val="Calibri"/>
    </x:font>
    <x:font>
      <x:b/>
      <x:sz val="7"/>
      <x:color rgb="FFFFFFFF"/>
      <x:name val="Calibri"/>
    </x:font>
  </x:fonts>
  <x:fills count="45">
    <x:fill>
      <x:patternFill patternType="none"/>
    </x:fill>
    <x:fill>
      <x:patternFill patternType="gray125"/>
    </x:fill>
    <x:fill>
      <x:patternFill patternType="solid">
        <x:fgColor rgb="FF4472C4"/>
      </x:patternFill>
    </x:fill>
    <x:fill>
      <x:patternFill patternType="solid">
        <x:fgColor rgb="FFF4F7FB"/>
      </x:patternFill>
    </x:fill>
    <x:fill>
      <x:patternFill patternType="solid">
        <x:fgColor rgb="FFFFE582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4472C4"/>
      </x:patternFill>
    </x:fill>
    <x:fill>
      <x:patternFill patternType="solid">
        <x:fgColor rgb="FFC0E3F2"/>
      </x:patternFill>
    </x:fill>
    <x:fill>
      <x:patternFill patternType="solid">
        <x:fgColor rgb="FFF2F4F8"/>
      </x:patternFill>
    </x:fill>
    <x:fill>
      <x:patternFill patternType="solid">
        <x:fgColor rgb="FF4472C4"/>
      </x:patternFill>
    </x:fill>
    <x:fill>
      <x:patternFill patternType="solid">
        <x:fgColor rgb="FFC0E3F2"/>
      </x:patternFill>
    </x:fill>
    <x:fill>
      <x:patternFill patternType="solid">
        <x:fgColor rgb="FFF2F4F8"/>
      </x:patternFill>
    </x:fill>
    <x:fill>
      <x:patternFill patternType="solid">
        <x:fgColor rgb="FF4472C4"/>
      </x:patternFill>
    </x:fill>
    <x:fill>
      <x:patternFill patternType="solid">
        <x:fgColor rgb="FFC0E3F2"/>
      </x:patternFill>
    </x:fill>
    <x:fill>
      <x:patternFill patternType="solid">
        <x:fgColor rgb="FFF2F4F8"/>
      </x:patternFill>
    </x:fill>
  </x:fills>
  <x:borders count="24">
    <x:border/>
    <x:border>
      <x:left style="medium">
        <x:color rgb="FF2F5597"/>
      </x:left>
      <x:top style="medium">
        <x:color rgb="FF2F5597"/>
      </x:top>
      <x:bottom style="medium">
        <x:color rgb="FF2F5597"/>
      </x:bottom>
    </x:border>
    <x:border>
      <x:top style="medium">
        <x:color rgb="FF2F5597"/>
      </x:top>
      <x:bottom style="medium">
        <x:color rgb="FF2F559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A6A6A6"/>
      </x:bottom>
    </x:border>
    <x:border>
      <x:right style="medium">
        <x:color rgb="FF2F5597"/>
      </x:right>
      <x:top style="medium">
        <x:color rgb="FF2F5597"/>
      </x:top>
      <x:bottom style="medium">
        <x:color rgb="FF2F5597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right style="thin">
        <x:color rgb="FFFFFFFF"/>
      </x:right>
      <x:bottom style="thin">
        <x:color rgb="FFD9E2F3"/>
      </x:bottom>
    </x:border>
    <x:border>
      <x:left style="thin">
        <x:color rgb="FFFFFFFF"/>
      </x:left>
      <x:right style="thin">
        <x:color rgb="FFFFFFFF"/>
      </x:right>
      <x:bottom style="thin">
        <x:color rgb="FFD9E2F3"/>
      </x:bottom>
    </x:border>
    <x:border>
      <x:left style="thin">
        <x:color rgb="FFFFFFFF"/>
      </x:left>
      <x:bottom style="thin">
        <x:color rgb="FFD9E2F3"/>
      </x:bottom>
    </x:border>
    <x:border>
      <x:right style="thin">
        <x:color rgb="FFFFFFFF"/>
      </x:right>
      <x:top style="thin">
        <x:color rgb="FFD9E2F3"/>
      </x:top>
      <x:bottom style="thin">
        <x:color rgb="FFD9E2F3"/>
      </x:bottom>
    </x:border>
    <x:border>
      <x:left style="thin">
        <x:color rgb="FFFFFFFF"/>
      </x:left>
      <x:right style="thin">
        <x:color rgb="FFFFFFFF"/>
      </x:right>
      <x:top style="thin">
        <x:color rgb="FFD9E2F3"/>
      </x:top>
      <x:bottom style="thin">
        <x:color rgb="FFD9E2F3"/>
      </x:bottom>
    </x:border>
    <x:border>
      <x:left style="thin">
        <x:color rgb="FFFFFFFF"/>
      </x:left>
      <x:top style="thin">
        <x:color rgb="FFD9E2F3"/>
      </x:top>
      <x:bottom style="thin">
        <x:color rgb="FFD9E2F3"/>
      </x:bottom>
    </x:border>
    <x:border>
      <x:right style="thin">
        <x:color rgb="FFFFFFFF"/>
      </x:right>
      <x:top style="thin">
        <x:color rgb="FFD9E2F3"/>
      </x:top>
    </x:border>
    <x:border>
      <x:left style="thin">
        <x:color rgb="FFFFFFFF"/>
      </x:left>
      <x:right style="thin">
        <x:color rgb="FFFFFFFF"/>
      </x:right>
      <x:top style="thin">
        <x:color rgb="FFD9E2F3"/>
      </x:top>
    </x:border>
    <x:border>
      <x:left style="thin">
        <x:color rgb="FFFFFFFF"/>
      </x:left>
      <x:top style="thin">
        <x:color rgb="FFD9E2F3"/>
      </x:top>
    </x:border>
  </x:borders>
  <x:cellStyleXfs count="50">
    <x:xf numFmtId="0" fontId="0" fillId="0" borderId="0"/>
    <x:xf numFmtId="176" fontId="0" fillId="0" borderId="0" applyBorder="0" applyAlignment="0" applyProtection="0"/>
    <x:xf numFmtId="177" fontId="0" fillId="0" borderId="0" applyBorder="0" applyAlignment="0" applyProtection="0"/>
    <x:xf numFmtId="9" fontId="0" fillId="0" borderId="0" applyBorder="0" applyAlignment="0" applyProtection="0"/>
    <x:xf numFmtId="178" fontId="0" fillId="0" borderId="0" applyBorder="0" applyAlignment="0" applyProtection="0"/>
    <x:xf numFmtId="179" fontId="0" fillId="0" borderId="0" applyBorder="0" applyAlignment="0" applyProtection="0"/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5" borderId="7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8" applyNumberFormat="0" applyFill="0" applyAlignment="0" applyProtection="0">
      <x:alignment vertical="center"/>
    </x:xf>
    <x:xf numFmtId="0" fontId="10" fillId="0" borderId="8" applyNumberFormat="0" applyFill="0" applyAlignment="0" applyProtection="0">
      <x:alignment vertical="center"/>
    </x:xf>
    <x:xf numFmtId="0" fontId="11" fillId="0" borderId="9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6" borderId="10" applyNumberFormat="0" applyAlignment="0" applyProtection="0">
      <x:alignment vertical="center"/>
    </x:xf>
    <x:xf numFmtId="0" fontId="13" fillId="7" borderId="11" applyNumberFormat="0" applyAlignment="0" applyProtection="0">
      <x:alignment vertical="center"/>
    </x:xf>
    <x:xf numFmtId="0" fontId="14" fillId="7" borderId="10" applyNumberFormat="0" applyAlignment="0" applyProtection="0">
      <x:alignment vertical="center"/>
    </x:xf>
    <x:xf numFmtId="0" fontId="15" fillId="8" borderId="12" applyNumberFormat="0" applyAlignment="0" applyProtection="0">
      <x:alignment vertical="center"/>
    </x:xf>
    <x:xf numFmtId="0" fontId="16" fillId="0" borderId="13" applyNumberFormat="0" applyFill="0" applyAlignment="0" applyProtection="0">
      <x:alignment vertical="center"/>
    </x:xf>
    <x:xf numFmtId="0" fontId="17" fillId="0" borderId="14" applyNumberFormat="0" applyFill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2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22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1" fillId="20" borderId="0" applyNumberFormat="0" applyBorder="0" applyAlignment="0" applyProtection="0">
      <x:alignment vertical="center"/>
    </x:xf>
    <x:xf numFmtId="0" fontId="22" fillId="21" borderId="0" applyNumberFormat="0" applyBorder="0" applyAlignment="0" applyProtection="0">
      <x:alignment vertical="center"/>
    </x:xf>
    <x:xf numFmtId="0" fontId="22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1" fillId="24" borderId="0" applyNumberFormat="0" applyBorder="0" applyAlignment="0" applyProtection="0">
      <x:alignment vertical="center"/>
    </x:xf>
    <x:xf numFmtId="0" fontId="22" fillId="25" borderId="0" applyNumberFormat="0" applyBorder="0" applyAlignment="0" applyProtection="0">
      <x:alignment vertical="center"/>
    </x:xf>
    <x:xf numFmtId="0" fontId="22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1" fillId="28" borderId="0" applyNumberFormat="0" applyBorder="0" applyAlignment="0" applyProtection="0">
      <x:alignment vertical="center"/>
    </x:xf>
    <x:xf numFmtId="0" fontId="22" fillId="29" borderId="0" applyNumberFormat="0" applyBorder="0" applyAlignment="0" applyProtection="0">
      <x:alignment vertical="center"/>
    </x:xf>
    <x:xf numFmtId="0" fontId="22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1" fillId="32" borderId="0" applyNumberFormat="0" applyBorder="0" applyAlignment="0" applyProtection="0">
      <x:alignment vertical="center"/>
    </x:xf>
    <x:xf numFmtId="0" fontId="22" fillId="33" borderId="0" applyNumberFormat="0" applyBorder="0" applyAlignment="0" applyProtection="0">
      <x:alignment vertical="center"/>
    </x:xf>
    <x:xf numFmtId="0" fontId="22" fillId="34" borderId="0" applyNumberFormat="0" applyBorder="0" applyAlignment="0" applyProtection="0">
      <x:alignment vertical="center"/>
    </x:xf>
    <x:xf numFmtId="0" fontId="21" fillId="35" borderId="0" applyNumberFormat="0" applyBorder="0" applyAlignment="0" applyProtection="0">
      <x:alignment vertical="center"/>
    </x:xf>
    <x:xf numFmtId="0" fontId="2" fillId="0" borderId="0"/>
  </x:cellStyleXfs>
  <x:cellXfs count="122">
    <x:xf numFmtId="0" fontId="0" fillId="0" borderId="0" xfId="0"/>
    <x:xf numFmtId="0" fontId="1" fillId="2" borderId="1" xfId="49" applyFont="1" applyFill="1" applyBorder="1" applyAlignment="1">
      <x:alignment horizontal="center" vertical="center" wrapText="1"/>
    </x:xf>
    <x:xf numFmtId="0" fontId="1" fillId="2" borderId="2" xfId="49" applyFont="1" applyFill="1" applyBorder="1" applyAlignment="1">
      <x:alignment horizontal="center" vertical="center" wrapText="1"/>
    </x:xf>
    <x:xf numFmtId="0" fontId="2" fillId="0" borderId="3" xfId="49" applyFont="1" applyBorder="1" applyAlignment="1">
      <x:alignment vertical="top" wrapText="1"/>
    </x:xf>
    <x:xf numFmtId="10" fontId="2" fillId="0" borderId="3" xfId="49" applyNumberFormat="1" applyFont="1" applyBorder="1" applyAlignment="1">
      <x:alignment horizontal="right" vertical="top"/>
    </x:xf>
    <x:xf numFmtId="0" fontId="2" fillId="3" borderId="4" xfId="49" applyFont="1" applyFill="1" applyBorder="1" applyAlignment="1">
      <x:alignment vertical="top" wrapText="1"/>
    </x:xf>
    <x:xf numFmtId="10" fontId="2" fillId="3" borderId="4" xfId="49" applyNumberFormat="1" applyFont="1" applyFill="1" applyBorder="1" applyAlignment="1">
      <x:alignment horizontal="right" vertical="top"/>
    </x:xf>
    <x:xf numFmtId="0" fontId="2" fillId="0" borderId="4" xfId="49" applyFont="1" applyBorder="1" applyAlignment="1">
      <x:alignment vertical="top" wrapText="1"/>
    </x:xf>
    <x:xf numFmtId="10" fontId="2" fillId="0" borderId="4" xfId="49" applyNumberFormat="1" applyFont="1" applyBorder="1" applyAlignment="1">
      <x:alignment horizontal="right" vertical="top"/>
    </x:xf>
    <x:xf numFmtId="0" fontId="2" fillId="0" borderId="5" xfId="49" applyFont="1" applyBorder="1" applyAlignment="1">
      <x:alignment vertical="top" wrapText="1"/>
    </x:xf>
    <x:xf numFmtId="10" fontId="2" fillId="0" borderId="5" xfId="49" applyNumberFormat="1" applyFont="1" applyBorder="1" applyAlignment="1">
      <x:alignment horizontal="right" vertical="top"/>
    </x:xf>
    <x:xf numFmtId="0" fontId="0" fillId="0" borderId="0" xfId="0" applyNumberFormat="1" applyFont="1" applyFill="1" applyBorder="1" applyAlignment="1">
      <x:alignment vertical="top" wrapText="1"/>
    </x:xf>
    <x:xf numFmtId="10" fontId="0" fillId="0" borderId="0" xfId="0" applyNumberFormat="1" applyFont="1" applyFill="1" applyBorder="1" applyAlignment="1">
      <x:alignment horizontal="right" vertical="top"/>
    </x:xf>
    <x:xf numFmtId="0" fontId="1" fillId="2" borderId="6" xfId="49" applyFont="1" applyFill="1" applyBorder="1" applyAlignment="1">
      <x:alignment horizontal="center" vertical="center" wrapText="1"/>
    </x:xf>
    <x:xf numFmtId="10" fontId="0" fillId="4" borderId="0" xfId="0" applyNumberFormat="1" applyFont="1" applyFill="1" applyBorder="1" applyAlignment="1">
      <x:alignment horizontal="right" vertical="top"/>
    </x:xf>
    <x:xf numFmtId="0" fontId="23" fillId="0" borderId="0" xfId="0" applyNumberFormat="1" applyFont="1" applyFill="1" applyBorder="1"/>
    <x:xf numFmtId="0" fontId="23" fillId="0" borderId="15" xfId="0" applyNumberFormat="1" applyFont="1" applyFill="1" applyBorder="1"/>
    <x:xf numFmtId="0" fontId="23" fillId="0" borderId="16" xfId="0" applyNumberFormat="1" applyFont="1" applyFill="1" applyBorder="1"/>
    <x:xf numFmtId="0" fontId="23" fillId="0" borderId="17" xfId="0" applyNumberFormat="1" applyFont="1" applyFill="1" applyBorder="1"/>
    <x:xf numFmtId="0" fontId="23" fillId="0" borderId="18" xfId="0" applyNumberFormat="1" applyFont="1" applyFill="1" applyBorder="1"/>
    <x:xf numFmtId="0" fontId="23" fillId="0" borderId="19" xfId="0" applyNumberFormat="1" applyFont="1" applyFill="1" applyBorder="1"/>
    <x:xf numFmtId="0" fontId="23" fillId="0" borderId="20" xfId="0" applyNumberFormat="1" applyFont="1" applyFill="1" applyBorder="1"/>
    <x:xf numFmtId="0" fontId="23" fillId="0" borderId="21" xfId="0" applyNumberFormat="1" applyFont="1" applyFill="1" applyBorder="1"/>
    <x:xf numFmtId="0" fontId="23" fillId="0" borderId="22" xfId="0" applyNumberFormat="1" applyFont="1" applyFill="1" applyBorder="1"/>
    <x:xf numFmtId="0" fontId="23" fillId="0" borderId="23" xfId="0" applyNumberFormat="1" applyFont="1" applyFill="1" applyBorder="1"/>
    <x:xf numFmtId="0" fontId="23" fillId="36" borderId="15" xfId="0" applyNumberFormat="1" applyFont="1" applyFill="1" applyBorder="1"/>
    <x:xf numFmtId="0" fontId="23" fillId="36" borderId="16" xfId="0" applyNumberFormat="1" applyFont="1" applyFill="1" applyBorder="1"/>
    <x:xf numFmtId="0" fontId="23" fillId="36" borderId="17" xfId="0" applyNumberFormat="1" applyFont="1" applyFill="1" applyBorder="1"/>
    <x:xf numFmtId="0" fontId="1" fillId="36" borderId="15" xfId="0" applyNumberFormat="1" applyFont="1" applyFill="1" applyBorder="1"/>
    <x:xf numFmtId="0" fontId="1" fillId="36" borderId="16" xfId="0" applyNumberFormat="1" applyFont="1" applyFill="1" applyBorder="1"/>
    <x:xf numFmtId="0" fontId="1" fillId="36" borderId="17" xfId="0" applyNumberFormat="1" applyFont="1" applyFill="1" applyBorder="1"/>
    <x:xf numFmtId="0" fontId="1" fillId="36" borderId="15" xfId="0" applyNumberFormat="1" applyFont="1" applyFill="1" applyBorder="1" applyAlignment="1">
      <x:alignment horizontal="center"/>
    </x:xf>
    <x:xf numFmtId="0" fontId="1" fillId="36" borderId="16" xfId="0" applyNumberFormat="1" applyFont="1" applyFill="1" applyBorder="1" applyAlignment="1">
      <x:alignment horizontal="center"/>
    </x:xf>
    <x:xf numFmtId="0" fontId="1" fillId="36" borderId="17" xfId="0" applyNumberFormat="1" applyFont="1" applyFill="1" applyBorder="1" applyAlignment="1">
      <x:alignment horizontal="center"/>
    </x:xf>
    <x:xf numFmtId="0" fontId="1" fillId="36" borderId="15" xfId="0" applyNumberFormat="1" applyFont="1" applyFill="1" applyBorder="1" applyAlignment="1">
      <x:alignment horizontal="center" vertical="center"/>
    </x:xf>
    <x:xf numFmtId="0" fontId="1" fillId="36" borderId="16" xfId="0" applyNumberFormat="1" applyFont="1" applyFill="1" applyBorder="1" applyAlignment="1">
      <x:alignment horizontal="center" vertical="center"/>
    </x:xf>
    <x:xf numFmtId="0" fontId="1" fillId="36" borderId="17" xfId="0" applyNumberFormat="1" applyFont="1" applyFill="1" applyBorder="1" applyAlignment="1">
      <x:alignment horizontal="center" vertical="center"/>
    </x:xf>
    <x:xf numFmtId="0" fontId="1" fillId="36" borderId="15" xfId="0" applyNumberFormat="1" applyFont="1" applyFill="1" applyBorder="1" applyAlignment="1">
      <x:alignment horizontal="center" vertical="center" wrapText="1"/>
    </x:xf>
    <x:xf numFmtId="0" fontId="1" fillId="36" borderId="16" xfId="0" applyNumberFormat="1" applyFont="1" applyFill="1" applyBorder="1" applyAlignment="1">
      <x:alignment horizontal="center" vertical="center" wrapText="1"/>
    </x:xf>
    <x:xf numFmtId="0" fontId="1" fillId="36" borderId="17" xfId="0" applyNumberFormat="1" applyFont="1" applyFill="1" applyBorder="1" applyAlignment="1">
      <x:alignment horizontal="center" vertical="center" wrapText="1"/>
    </x:xf>
    <x:xf numFmtId="0" fontId="23" fillId="37" borderId="18" xfId="0" applyNumberFormat="1" applyFont="1" applyFill="1" applyBorder="1"/>
    <x:xf numFmtId="0" fontId="23" fillId="37" borderId="19" xfId="0" applyNumberFormat="1" applyFont="1" applyFill="1" applyBorder="1"/>
    <x:xf numFmtId="0" fontId="23" fillId="37" borderId="20" xfId="0" applyNumberFormat="1" applyFont="1" applyFill="1" applyBorder="1"/>
    <x:xf numFmtId="0" fontId="23" fillId="37" borderId="18" xfId="0" applyNumberFormat="1" applyFont="1" applyFill="1" applyBorder="1" applyAlignment="1">
      <x:alignment vertical="top"/>
    </x:xf>
    <x:xf numFmtId="0" fontId="23" fillId="37" borderId="19" xfId="0" applyNumberFormat="1" applyFont="1" applyFill="1" applyBorder="1" applyAlignment="1">
      <x:alignment vertical="top"/>
    </x:xf>
    <x:xf numFmtId="0" fontId="23" fillId="37" borderId="20" xfId="0" applyNumberFormat="1" applyFont="1" applyFill="1" applyBorder="1" applyAlignment="1">
      <x:alignment vertical="top"/>
    </x:xf>
    <x:xf numFmtId="0" fontId="23" fillId="38" borderId="18" xfId="0" applyNumberFormat="1" applyFont="1" applyFill="1" applyBorder="1"/>
    <x:xf numFmtId="0" fontId="23" fillId="38" borderId="19" xfId="0" applyNumberFormat="1" applyFont="1" applyFill="1" applyBorder="1"/>
    <x:xf numFmtId="0" fontId="23" fillId="38" borderId="20" xfId="0" applyNumberFormat="1" applyFont="1" applyFill="1" applyBorder="1"/>
    <x:xf numFmtId="0" fontId="23" fillId="38" borderId="18" xfId="0" applyNumberFormat="1" applyFont="1" applyFill="1" applyBorder="1" applyAlignment="1">
      <x:alignment vertical="top"/>
    </x:xf>
    <x:xf numFmtId="0" fontId="23" fillId="38" borderId="19" xfId="0" applyNumberFormat="1" applyFont="1" applyFill="1" applyBorder="1" applyAlignment="1">
      <x:alignment vertical="top"/>
    </x:xf>
    <x:xf numFmtId="0" fontId="23" fillId="38" borderId="20" xfId="0" applyNumberFormat="1" applyFont="1" applyFill="1" applyBorder="1" applyAlignment="1">
      <x:alignment vertical="top"/>
    </x:xf>
    <x:xf numFmtId="0" fontId="23" fillId="37" borderId="21" xfId="0" applyNumberFormat="1" applyFont="1" applyFill="1" applyBorder="1"/>
    <x:xf numFmtId="0" fontId="23" fillId="37" borderId="22" xfId="0" applyNumberFormat="1" applyFont="1" applyFill="1" applyBorder="1"/>
    <x:xf numFmtId="0" fontId="23" fillId="37" borderId="23" xfId="0" applyNumberFormat="1" applyFont="1" applyFill="1" applyBorder="1"/>
    <x:xf numFmtId="0" fontId="23" fillId="37" borderId="21" xfId="0" applyNumberFormat="1" applyFont="1" applyFill="1" applyBorder="1" applyAlignment="1">
      <x:alignment vertical="top"/>
    </x:xf>
    <x:xf numFmtId="0" fontId="23" fillId="37" borderId="22" xfId="0" applyNumberFormat="1" applyFont="1" applyFill="1" applyBorder="1" applyAlignment="1">
      <x:alignment vertical="top"/>
    </x:xf>
    <x:xf numFmtId="0" fontId="23" fillId="37" borderId="23" xfId="0" applyNumberFormat="1" applyFont="1" applyFill="1" applyBorder="1" applyAlignment="1">
      <x:alignment vertical="top"/>
    </x:xf>
    <x:xf numFmtId="0" fontId="23" fillId="37" borderId="18" xfId="0" applyNumberFormat="1" applyFont="1" applyFill="1" applyBorder="1" applyAlignment="1">
      <x:alignment horizontal="left" vertical="top"/>
    </x:xf>
    <x:xf numFmtId="0" fontId="23" fillId="37" borderId="19" xfId="0" applyNumberFormat="1" applyFont="1" applyFill="1" applyBorder="1" applyAlignment="1">
      <x:alignment horizontal="left" vertical="top"/>
    </x:xf>
    <x:xf numFmtId="0" fontId="23" fillId="38" borderId="18" xfId="0" applyNumberFormat="1" applyFont="1" applyFill="1" applyBorder="1" applyAlignment="1">
      <x:alignment horizontal="left" vertical="top"/>
    </x:xf>
    <x:xf numFmtId="0" fontId="23" fillId="38" borderId="19" xfId="0" applyNumberFormat="1" applyFont="1" applyFill="1" applyBorder="1" applyAlignment="1">
      <x:alignment horizontal="left" vertical="top"/>
    </x:xf>
    <x:xf numFmtId="0" fontId="23" fillId="37" borderId="21" xfId="0" applyNumberFormat="1" applyFont="1" applyFill="1" applyBorder="1" applyAlignment="1">
      <x:alignment horizontal="left" vertical="top"/>
    </x:xf>
    <x:xf numFmtId="0" fontId="23" fillId="37" borderId="22" xfId="0" applyNumberFormat="1" applyFont="1" applyFill="1" applyBorder="1" applyAlignment="1">
      <x:alignment horizontal="left" vertical="top"/>
    </x:xf>
    <x:xf numFmtId="0" fontId="23" fillId="37" borderId="20" xfId="0" applyNumberFormat="1" applyFont="1" applyFill="1" applyBorder="1" applyAlignment="1">
      <x:alignment horizontal="left" vertical="top"/>
    </x:xf>
    <x:xf numFmtId="0" fontId="23" fillId="38" borderId="20" xfId="0" applyNumberFormat="1" applyFont="1" applyFill="1" applyBorder="1" applyAlignment="1">
      <x:alignment horizontal="left" vertical="top"/>
    </x:xf>
    <x:xf numFmtId="0" fontId="23" fillId="37" borderId="23" xfId="0" applyNumberFormat="1" applyFont="1" applyFill="1" applyBorder="1" applyAlignment="1">
      <x:alignment horizontal="left" vertical="top"/>
    </x:xf>
    <x:xf numFmtId="0" fontId="23" fillId="37" borderId="19" xfId="0" applyNumberFormat="1" applyFont="1" applyFill="1" applyBorder="1" applyAlignment="1">
      <x:alignment horizontal="left" vertical="top" wrapText="1"/>
    </x:xf>
    <x:xf numFmtId="0" fontId="23" fillId="38" borderId="19" xfId="0" applyNumberFormat="1" applyFont="1" applyFill="1" applyBorder="1" applyAlignment="1">
      <x:alignment horizontal="left" vertical="top" wrapText="1"/>
    </x:xf>
    <x:xf numFmtId="0" fontId="23" fillId="37" borderId="22" xfId="0" applyNumberFormat="1" applyFont="1" applyFill="1" applyBorder="1" applyAlignment="1">
      <x:alignment horizontal="left" vertical="top" wrapText="1"/>
    </x:xf>
    <x:xf numFmtId="0" fontId="23" fillId="37" borderId="20" xfId="0" applyNumberFormat="1" applyFont="1" applyFill="1" applyBorder="1" applyAlignment="1">
      <x:alignment horizontal="left" vertical="top" wrapText="1"/>
    </x:xf>
    <x:xf numFmtId="0" fontId="23" fillId="38" borderId="20" xfId="0" applyNumberFormat="1" applyFont="1" applyFill="1" applyBorder="1" applyAlignment="1">
      <x:alignment horizontal="left" vertical="top" wrapText="1"/>
    </x:xf>
    <x:xf numFmtId="0" fontId="23" fillId="37" borderId="23" xfId="0" applyNumberFormat="1" applyFont="1" applyFill="1" applyBorder="1" applyAlignment="1">
      <x:alignment horizontal="left" vertical="top" wrapText="1"/>
    </x:xf>
    <x:xf numFmtId="0" fontId="23" fillId="37" borderId="19" xfId="0" applyNumberFormat="1" applyFont="1" applyFill="1" applyBorder="1" applyAlignment="1">
      <x:alignment horizontal="right" vertical="top"/>
    </x:xf>
    <x:xf numFmtId="0" fontId="23" fillId="38" borderId="19" xfId="0" applyNumberFormat="1" applyFont="1" applyFill="1" applyBorder="1" applyAlignment="1">
      <x:alignment horizontal="right" vertical="top"/>
    </x:xf>
    <x:xf numFmtId="0" fontId="23" fillId="37" borderId="22" xfId="0" applyNumberFormat="1" applyFont="1" applyFill="1" applyBorder="1" applyAlignment="1">
      <x:alignment horizontal="right" vertical="top"/>
    </x:xf>
    <x:xf numFmtId="200" fontId="23" fillId="37" borderId="19" xfId="0" applyNumberFormat="1" applyFont="1" applyFill="1" applyBorder="1" applyAlignment="1">
      <x:alignment horizontal="right" vertical="top"/>
    </x:xf>
    <x:xf numFmtId="200" fontId="23" fillId="38" borderId="19" xfId="0" applyNumberFormat="1" applyFont="1" applyFill="1" applyBorder="1" applyAlignment="1">
      <x:alignment horizontal="right" vertical="top"/>
    </x:xf>
    <x:xf numFmtId="200" fontId="23" fillId="37" borderId="22" xfId="0" applyNumberFormat="1" applyFont="1" applyFill="1" applyBorder="1" applyAlignment="1">
      <x:alignment horizontal="right" vertical="top"/>
    </x:xf>
    <x:xf numFmtId="0" fontId="24" fillId="2" borderId="15" xfId="0" applyNumberFormat="1" applyFont="1" applyFill="1" applyBorder="1" applyAlignment="1">
      <x:alignment horizontal="center" vertical="center" wrapText="1"/>
    </x:xf>
    <x:xf numFmtId="0" fontId="24" fillId="2" borderId="16" xfId="0" applyNumberFormat="1" applyFont="1" applyFill="1" applyBorder="1" applyAlignment="1">
      <x:alignment horizontal="center" vertical="center" wrapText="1"/>
    </x:xf>
    <x:xf numFmtId="0" fontId="24" fillId="2" borderId="17" xfId="0" applyNumberFormat="1" applyFont="1" applyFill="1" applyBorder="1" applyAlignment="1">
      <x:alignment horizontal="center" vertical="center" wrapText="1"/>
    </x:xf>
    <x:xf numFmtId="0" fontId="25" fillId="37" borderId="18" xfId="0" applyNumberFormat="1" applyFont="1" applyFill="1" applyBorder="1" applyAlignment="1">
      <x:alignment horizontal="left" vertical="top"/>
    </x:xf>
    <x:xf numFmtId="0" fontId="25" fillId="37" borderId="19" xfId="0" applyNumberFormat="1" applyFont="1" applyFill="1" applyBorder="1" applyAlignment="1">
      <x:alignment horizontal="left" vertical="top" wrapText="1"/>
    </x:xf>
    <x:xf numFmtId="200" fontId="25" fillId="37" borderId="19" xfId="0" applyNumberFormat="1" applyFont="1" applyFill="1" applyBorder="1" applyAlignment="1">
      <x:alignment horizontal="right" vertical="top"/>
    </x:xf>
    <x:xf numFmtId="0" fontId="25" fillId="37" borderId="20" xfId="0" applyNumberFormat="1" applyFont="1" applyFill="1" applyBorder="1" applyAlignment="1">
      <x:alignment horizontal="left" vertical="top" wrapText="1"/>
    </x:xf>
    <x:xf numFmtId="0" fontId="25" fillId="38" borderId="18" xfId="0" applyNumberFormat="1" applyFont="1" applyFill="1" applyBorder="1" applyAlignment="1">
      <x:alignment horizontal="left" vertical="top"/>
    </x:xf>
    <x:xf numFmtId="0" fontId="25" fillId="38" borderId="19" xfId="0" applyNumberFormat="1" applyFont="1" applyFill="1" applyBorder="1" applyAlignment="1">
      <x:alignment horizontal="left" vertical="top" wrapText="1"/>
    </x:xf>
    <x:xf numFmtId="200" fontId="25" fillId="38" borderId="19" xfId="0" applyNumberFormat="1" applyFont="1" applyFill="1" applyBorder="1" applyAlignment="1">
      <x:alignment horizontal="right" vertical="top"/>
    </x:xf>
    <x:xf numFmtId="0" fontId="25" fillId="38" borderId="20" xfId="0" applyNumberFormat="1" applyFont="1" applyFill="1" applyBorder="1" applyAlignment="1">
      <x:alignment horizontal="left" vertical="top" wrapText="1"/>
    </x:xf>
    <x:xf numFmtId="0" fontId="25" fillId="37" borderId="21" xfId="0" applyNumberFormat="1" applyFont="1" applyFill="1" applyBorder="1" applyAlignment="1">
      <x:alignment horizontal="left" vertical="top"/>
    </x:xf>
    <x:xf numFmtId="0" fontId="25" fillId="37" borderId="22" xfId="0" applyNumberFormat="1" applyFont="1" applyFill="1" applyBorder="1" applyAlignment="1">
      <x:alignment horizontal="left" vertical="top" wrapText="1"/>
    </x:xf>
    <x:xf numFmtId="200" fontId="25" fillId="37" borderId="22" xfId="0" applyNumberFormat="1" applyFont="1" applyFill="1" applyBorder="1" applyAlignment="1">
      <x:alignment horizontal="right" vertical="top"/>
    </x:xf>
    <x:xf numFmtId="0" fontId="25" fillId="37" borderId="23" xfId="0" applyNumberFormat="1" applyFont="1" applyFill="1" applyBorder="1" applyAlignment="1">
      <x:alignment horizontal="left" vertical="top" wrapText="1"/>
    </x:xf>
    <x:xf numFmtId="0" fontId="24" fillId="39" borderId="15" xfId="0" applyNumberFormat="1" applyFont="1" applyFill="1" applyBorder="1" applyAlignment="1">
      <x:alignment horizontal="center" vertical="center" wrapText="1"/>
    </x:xf>
    <x:xf numFmtId="0" fontId="24" fillId="39" borderId="16" xfId="0" applyNumberFormat="1" applyFont="1" applyFill="1" applyBorder="1" applyAlignment="1">
      <x:alignment horizontal="center" vertical="center" wrapText="1"/>
    </x:xf>
    <x:xf numFmtId="0" fontId="26" fillId="39" borderId="15" xfId="0" applyNumberFormat="1" applyFont="1" applyFill="1" applyBorder="1" applyAlignment="1">
      <x:alignment horizontal="center" vertical="center" wrapText="1"/>
    </x:xf>
    <x:xf numFmtId="0" fontId="26" fillId="39" borderId="16" xfId="0" applyNumberFormat="1" applyFont="1" applyFill="1" applyBorder="1" applyAlignment="1">
      <x:alignment horizontal="center" vertical="center" wrapText="1"/>
    </x:xf>
    <x:xf numFmtId="0" fontId="25" fillId="40" borderId="18" xfId="0" applyNumberFormat="1" applyFont="1" applyFill="1" applyBorder="1" applyAlignment="1">
      <x:alignment horizontal="left" vertical="top"/>
    </x:xf>
    <x:xf numFmtId="0" fontId="25" fillId="40" borderId="19" xfId="0" applyNumberFormat="1" applyFont="1" applyFill="1" applyBorder="1" applyAlignment="1">
      <x:alignment horizontal="left" vertical="top" wrapText="1"/>
    </x:xf>
    <x:xf numFmtId="200" fontId="25" fillId="40" borderId="19" xfId="0" applyNumberFormat="1" applyFont="1" applyFill="1" applyBorder="1" applyAlignment="1">
      <x:alignment horizontal="right" vertical="top"/>
    </x:xf>
    <x:xf numFmtId="0" fontId="25" fillId="41" borderId="18" xfId="0" applyNumberFormat="1" applyFont="1" applyFill="1" applyBorder="1" applyAlignment="1">
      <x:alignment horizontal="left" vertical="top"/>
    </x:xf>
    <x:xf numFmtId="0" fontId="25" fillId="41" borderId="19" xfId="0" applyNumberFormat="1" applyFont="1" applyFill="1" applyBorder="1" applyAlignment="1">
      <x:alignment horizontal="left" vertical="top" wrapText="1"/>
    </x:xf>
    <x:xf numFmtId="200" fontId="25" fillId="41" borderId="19" xfId="0" applyNumberFormat="1" applyFont="1" applyFill="1" applyBorder="1" applyAlignment="1">
      <x:alignment horizontal="right" vertical="top"/>
    </x:xf>
    <x:xf numFmtId="0" fontId="27" fillId="2" borderId="15" xfId="0" applyNumberFormat="1" applyFont="1" applyFill="1" applyBorder="1" applyAlignment="1">
      <x:alignment horizontal="center" vertical="center" wrapText="1"/>
    </x:xf>
    <x:xf numFmtId="0" fontId="27" fillId="2" borderId="16" xfId="0" applyNumberFormat="1" applyFont="1" applyFill="1" applyBorder="1" applyAlignment="1">
      <x:alignment horizontal="center" vertical="center" wrapText="1"/>
    </x:xf>
    <x:xf numFmtId="0" fontId="28" fillId="37" borderId="18" xfId="0" applyNumberFormat="1" applyFont="1" applyFill="1" applyBorder="1" applyAlignment="1">
      <x:alignment horizontal="left" vertical="top"/>
    </x:xf>
    <x:xf numFmtId="0" fontId="28" fillId="37" borderId="19" xfId="0" applyNumberFormat="1" applyFont="1" applyFill="1" applyBorder="1" applyAlignment="1">
      <x:alignment horizontal="left" vertical="top" wrapText="1"/>
    </x:xf>
    <x:xf numFmtId="200" fontId="28" fillId="37" borderId="19" xfId="0" applyNumberFormat="1" applyFont="1" applyFill="1" applyBorder="1" applyAlignment="1">
      <x:alignment horizontal="right" vertical="top"/>
    </x:xf>
    <x:xf numFmtId="0" fontId="28" fillId="38" borderId="18" xfId="0" applyNumberFormat="1" applyFont="1" applyFill="1" applyBorder="1" applyAlignment="1">
      <x:alignment horizontal="left" vertical="top"/>
    </x:xf>
    <x:xf numFmtId="0" fontId="28" fillId="38" borderId="19" xfId="0" applyNumberFormat="1" applyFont="1" applyFill="1" applyBorder="1" applyAlignment="1">
      <x:alignment horizontal="left" vertical="top" wrapText="1"/>
    </x:xf>
    <x:xf numFmtId="200" fontId="28" fillId="38" borderId="19" xfId="0" applyNumberFormat="1" applyFont="1" applyFill="1" applyBorder="1" applyAlignment="1">
      <x:alignment horizontal="right" vertical="top"/>
    </x:xf>
    <x:xf numFmtId="0" fontId="27" fillId="42" borderId="15" xfId="0" applyNumberFormat="1" applyFont="1" applyFill="1" applyBorder="1" applyAlignment="1">
      <x:alignment horizontal="center" vertical="center" wrapText="1"/>
    </x:xf>
    <x:xf numFmtId="0" fontId="27" fillId="42" borderId="16" xfId="0" applyNumberFormat="1" applyFont="1" applyFill="1" applyBorder="1" applyAlignment="1">
      <x:alignment horizontal="center" vertical="center" wrapText="1"/>
    </x:xf>
    <x:xf numFmtId="0" fontId="29" fillId="42" borderId="15" xfId="0" applyNumberFormat="1" applyFont="1" applyFill="1" applyBorder="1" applyAlignment="1">
      <x:alignment horizontal="center" vertical="center" wrapText="1"/>
    </x:xf>
    <x:xf numFmtId="0" fontId="29" fillId="42" borderId="16" xfId="0" applyNumberFormat="1" applyFont="1" applyFill="1" applyBorder="1" applyAlignment="1">
      <x:alignment horizontal="center" vertical="center" wrapText="1"/>
    </x:xf>
    <x:xf numFmtId="0" fontId="28" fillId="43" borderId="18" xfId="0" applyNumberFormat="1" applyFont="1" applyFill="1" applyBorder="1" applyAlignment="1">
      <x:alignment horizontal="left" vertical="top"/>
    </x:xf>
    <x:xf numFmtId="0" fontId="28" fillId="43" borderId="19" xfId="0" applyNumberFormat="1" applyFont="1" applyFill="1" applyBorder="1" applyAlignment="1">
      <x:alignment horizontal="left" vertical="top" wrapText="1"/>
    </x:xf>
    <x:xf numFmtId="200" fontId="28" fillId="43" borderId="19" xfId="0" applyNumberFormat="1" applyFont="1" applyFill="1" applyBorder="1" applyAlignment="1">
      <x:alignment horizontal="right" vertical="top"/>
    </x:xf>
    <x:xf numFmtId="0" fontId="28" fillId="44" borderId="18" xfId="0" applyNumberFormat="1" applyFont="1" applyFill="1" applyBorder="1" applyAlignment="1">
      <x:alignment horizontal="left" vertical="top"/>
    </x:xf>
    <x:xf numFmtId="0" fontId="28" fillId="44" borderId="19" xfId="0" applyNumberFormat="1" applyFont="1" applyFill="1" applyBorder="1" applyAlignment="1">
      <x:alignment horizontal="left" vertical="top" wrapText="1"/>
    </x:xf>
    <x:xf numFmtId="200" fontId="28" fillId="44" borderId="19" xfId="0" applyNumberFormat="1" applyFont="1" applyFill="1" applyBorder="1" applyAlignment="1">
      <x:alignment horizontal="right" vertical="top"/>
    </x:xf>
  </x:cellXfs>
  <x:cellStyles count="50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Hyperlink" xfId="6"/>
    <x:cellStyle name="Followed Hyperlink" xfId="7"/>
    <x:cellStyle name="Note" xfId="8"/>
    <x:cellStyle name="Warning Text" xfId="9"/>
    <x:cellStyle name="Title" xfId="10"/>
    <x:cellStyle name="C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  <x:cellStyle name="Normal 1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4F7FB"/>
      <x:rgbColor rgb="00CCFFFF"/>
      <x:rgbColor rgb="00660066"/>
      <x:rgbColor rgb="00FF8080"/>
      <x:rgbColor rgb="000066CC"/>
      <x:rgbColor rgb="00D9E2F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4472C4"/>
      <x:rgbColor rgb="0033CCCC"/>
      <x:rgbColor rgb="0099CC00"/>
      <x:rgbColor rgb="00FFCC00"/>
      <x:rgbColor rgb="00FF9900"/>
      <x:rgbColor rgb="00FF6600"/>
      <x:rgbColor rgb="00666699"/>
      <x:rgbColor rgb="00A6A6A6"/>
      <x:rgbColor rgb="00003366"/>
      <x:rgbColor rgb="00339966"/>
      <x:rgbColor rgb="00003300"/>
      <x:rgbColor rgb="00333300"/>
      <x:rgbColor rgb="00993300"/>
      <x:rgbColor rgb="00993366"/>
      <x:rgbColor rgb="002F5597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3e097b7b33427a" /><Relationship Type="http://schemas.openxmlformats.org/officeDocument/2006/relationships/theme" Target="/xl/theme/theme1.xml" Id="Rfa9ff11e17654d9b" /><Relationship Type="http://schemas.openxmlformats.org/officeDocument/2006/relationships/sharedStrings" Target="/xl/sharedStrings.xml" Id="R52e877f55ae84319" /><Relationship Type="http://schemas.openxmlformats.org/officeDocument/2006/relationships/worksheet" Target="/xl/worksheets/sheet1.xml" Id="R21efa6d1a72144ea" /></Relationships>
</file>

<file path=xl/tables/table1.xml><?xml version="1.0" encoding="utf-8"?>
<x:table xmlns:x="http://schemas.openxmlformats.org/spreadsheetml/2006/main" id="2" name="ModelMetricsComparisonClean" displayName="ModelMetricsComparisonClean" ref="A1:O10" headerRowCount="1" totalsRowCount="0" totalsRowShown="0">
  <x:autoFilter ref="A1:O10"/>
  <x:tableColumns count="15">
    <x:tableColumn id="1" name="Модель"/>
    <x:tableColumn id="2" name="Датасет / протокол"/>
    <x:tableColumn id="3" name="Авторы: Accuracy"/>
    <x:tableColumn id="4" name="Авторы: Precision"/>
    <x:tableColumn id="5" name="Авторы: Recall"/>
    <x:tableColumn id="6" name="Авторы: F1"/>
    <x:tableColumn id="7" name="Мой: Accuracy"/>
    <x:tableColumn id="8" name="Мой: Precision"/>
    <x:tableColumn id="9" name="Мой: Recall"/>
    <x:tableColumn id="10" name="Мой: F1"/>
    <x:tableColumn id="11" name="Δ Accuracy"/>
    <x:tableColumn id="12" name="Δ Precision"/>
    <x:tableColumn id="13" name="Δ Recall"/>
    <x:tableColumn id="14" name="Δ F1"/>
    <x:tableColumn id="15" name="Предполагаемые причины расхождения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9d9dac27cc442b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5" hidden="0" customWidth="1"/>
    <x:col min="3" max="3" width="8.380000114440918" hidden="0" customWidth="1"/>
    <x:col min="4" max="4" width="8.380000114440918" hidden="0" customWidth="1"/>
    <x:col min="5" max="5" width="8.380000114440918" hidden="0" customWidth="1"/>
    <x:col min="6" max="6" width="8.380000114440918" hidden="0" customWidth="1"/>
    <x:col min="7" max="7" width="8.380000114440918" hidden="0" customWidth="1"/>
    <x:col min="8" max="8" width="8.380000114440918" hidden="0" customWidth="1"/>
    <x:col min="9" max="9" width="8.380000114440918" hidden="0" customWidth="1"/>
    <x:col min="10" max="10" width="8.380000114440918" hidden="0" customWidth="1"/>
    <x:col min="11" max="11" width="8.380000114440918" hidden="0" customWidth="1"/>
    <x:col min="12" max="12" width="8.380000114440918" hidden="0" customWidth="1"/>
    <x:col min="13" max="13" width="8.380000114440918" hidden="0" customWidth="1"/>
    <x:col min="14" max="14" width="8.380000114440918" hidden="0" customWidth="1"/>
    <x:col min="15" max="15" width="30" hidden="0" customWidth="1"/>
  </x:cols>
  <x:sheetData>
    <x:row r="1" ht="22.5" customHeight="1">
      <x:c r="A1" s="114" t="s">
        <x:v>0</x:v>
      </x:c>
      <x:c r="B1" s="115" t="s">
        <x:v>1</x:v>
      </x:c>
      <x:c r="C1" s="115" t="s">
        <x:v>2</x:v>
      </x:c>
      <x:c r="D1" s="115" t="s">
        <x:v>3</x:v>
      </x:c>
      <x:c r="E1" s="115" t="s">
        <x:v>4</x:v>
      </x:c>
      <x:c r="F1" s="115" t="s">
        <x:v>5</x:v>
      </x:c>
      <x:c r="G1" s="115" t="s">
        <x:v>6</x:v>
      </x:c>
      <x:c r="H1" s="115" t="s">
        <x:v>7</x:v>
      </x:c>
      <x:c r="I1" s="115" t="s">
        <x:v>8</x:v>
      </x:c>
      <x:c r="J1" s="115" t="s">
        <x:v>9</x:v>
      </x:c>
      <x:c r="K1" s="115" t="s">
        <x:v>10</x:v>
      </x:c>
      <x:c r="L1" s="115" t="s">
        <x:v>11</x:v>
      </x:c>
      <x:c r="M1" s="115" t="s">
        <x:v>12</x:v>
      </x:c>
      <x:c r="N1" s="115" t="s">
        <x:v>13</x:v>
      </x:c>
      <x:c r="O1" s="115" t="s">
        <x:v>14</x:v>
      </x:c>
    </x:row>
    <x:row r="2" ht="22.5" customHeight="1">
      <x:c r="A2" s="116" t="s">
        <x:v>15</x:v>
      </x:c>
      <x:c r="B2" s="117" t="s">
        <x:v>16</x:v>
      </x:c>
      <x:c r="C2" s="118">
        <x:v>0.7917</x:v>
      </x:c>
      <x:c r="D2" s="118">
        <x:v>0.7956</x:v>
      </x:c>
      <x:c r="E2" s="118">
        <x:v>0.7899</x:v>
      </x:c>
      <x:c r="F2" s="118">
        <x:v>0.7887</x:v>
      </x:c>
      <x:c r="G2" s="118">
        <x:v>0.9496964441</x:v>
      </x:c>
      <x:c r="H2" s="118">
        <x:v>0.8341579926</x:v>
      </x:c>
      <x:c r="I2" s="118">
        <x:v>0.6459195682</x:v>
      </x:c>
      <x:c r="J2" s="118">
        <x:v>0.7059864431</x:v>
      </x:c>
      <x:c r="K2" s="118" t="n">
        <x:f>IF(OR(C2="",G2=""),"",G2-C2)</x:f>
        <x:v>0.15799644410000002</x:v>
      </x:c>
      <x:c r="L2" s="118" t="n">
        <x:f>IF(OR(D2="",H2=""),"",H2-D2)</x:f>
        <x:v>0.038557992600000035</x:v>
      </x:c>
      <x:c r="M2" s="118" t="n">
        <x:f>IF(OR(E2="",I2=""),"",I2-E2)</x:f>
        <x:v>-0.14398043180000009</x:v>
      </x:c>
      <x:c r="N2" s="118" t="n">
        <x:f>IF(OR(F2="",J2=""),"",J2-F2)</x:f>
        <x:v>-0.08271355689999993</x:v>
      </x:c>
      <x:c r="O2" s="117" t="s">
        <x:v>17</x:v>
      </x:c>
    </x:row>
    <x:row r="3" ht="22.5" customHeight="1">
      <x:c r="A3" s="119" t="s">
        <x:v>18</x:v>
      </x:c>
      <x:c r="B3" s="120" t="s">
        <x:v>19</x:v>
      </x:c>
      <x:c r="C3" s="121">
        <x:v>0.8114</x:v>
      </x:c>
      <x:c r="D3" s="121">
        <x:v>0.8255</x:v>
      </x:c>
      <x:c r="E3" s="121">
        <x:v>0.8115</x:v>
      </x:c>
      <x:c r="F3" s="121">
        <x:v>0.8129</x:v>
      </x:c>
      <x:c r="G3" s="121">
        <x:v>0.9423532813</x:v>
      </x:c>
      <x:c r="H3" s="121">
        <x:v>0.6489157538</x:v>
      </x:c>
      <x:c r="I3" s="121">
        <x:v>0.7596512398</x:v>
      </x:c>
      <x:c r="J3" s="121">
        <x:v>0.689998663</x:v>
      </x:c>
      <x:c r="K3" s="121">
        <x:v>0.1309532813</x:v>
      </x:c>
      <x:c r="L3" s="121">
        <x:v>-0.1765842462</x:v>
      </x:c>
      <x:c r="M3" s="121">
        <x:v>-0.0518487602</x:v>
      </x:c>
      <x:c r="N3" s="121">
        <x:v>-0.122901337</x:v>
      </x:c>
      <x:c r="O3" s="120" t="s">
        <x:v>20</x:v>
      </x:c>
    </x:row>
    <x:row r="4" ht="22.5" customHeight="1">
      <x:c r="A4" s="116" t="s">
        <x:v>21</x:v>
      </x:c>
      <x:c r="B4" s="117" t="s">
        <x:v>22</x:v>
      </x:c>
      <x:c r="C4" s="118">
        <x:v>0.977</x:v>
      </x:c>
      <x:c r="D4" s="118">
        <x:v>0.946</x:v>
      </x:c>
      <x:c r="E4" s="118">
        <x:v>0.912</x:v>
      </x:c>
      <x:c r="F4" s="118">
        <x:v>0.962</x:v>
      </x:c>
      <x:c r="G4" s="118">
        <x:v>0.9668979474</x:v>
      </x:c>
      <x:c r="H4" s="118">
        <x:v>0.8804275468</x:v>
      </x:c>
      <x:c r="I4" s="118">
        <x:v>0.794888062</x:v>
      </x:c>
      <x:c r="J4" s="118">
        <x:v>0.8314339052</x:v>
      </x:c>
      <x:c r="K4" s="118">
        <x:v>-0.0101020526</x:v>
      </x:c>
      <x:c r="L4" s="118">
        <x:v>-0.0655724531999999</x:v>
      </x:c>
      <x:c r="M4" s="118">
        <x:v>-0.117111938</x:v>
      </x:c>
      <x:c r="N4" s="118">
        <x:v>-0.1305660948</x:v>
      </x:c>
      <x:c r="O4" s="117" t="s">
        <x:v>23</x:v>
      </x:c>
    </x:row>
    <x:row r="5" ht="45" customHeight="1">
      <x:c r="A5" s="119" t="s">
        <x:v>24</x:v>
      </x:c>
      <x:c r="B5" s="120" t="s">
        <x:v>25</x:v>
      </x:c>
      <x:c r="C5" s="121">
        <x:v>0.9988</x:v>
      </x:c>
      <x:c r="D5" s="121">
        <x:v>0.9956</x:v>
      </x:c>
      <x:c r="E5" s="121">
        <x:v>0.99</x:v>
      </x:c>
      <x:c r="F5" s="121">
        <x:v>0.9983</x:v>
      </x:c>
      <x:c r="G5" s="121">
        <x:v>0.9024390244</x:v>
      </x:c>
      <x:c r="H5" s="121">
        <x:v>0.4578177412</x:v>
      </x:c>
      <x:c r="I5" s="121">
        <x:v>0.5500783424</x:v>
      </x:c>
      <x:c r="J5" s="121">
        <x:v>0.4785992066</x:v>
      </x:c>
      <x:c r="K5" s="121">
        <x:v>-0.0963609756</x:v>
      </x:c>
      <x:c r="L5" s="121">
        <x:v>-0.5377822588</x:v>
      </x:c>
      <x:c r="M5" s="121">
        <x:v>-0.4399216576</x:v>
      </x:c>
      <x:c r="N5" s="121">
        <x:v>-0.5197007934</x:v>
      </x:c>
      <x:c r="O5" s="120" t="s">
        <x:v>26</x:v>
      </x:c>
    </x:row>
    <x:row r="6" ht="45" customHeight="1">
      <x:c r="A6" s="116" t="s">
        <x:v>27</x:v>
      </x:c>
      <x:c r="B6" s="117" t="s">
        <x:v>28</x:v>
      </x:c>
      <x:c r="C6" s="118">
        <x:v>0.9872</x:v>
      </x:c>
      <x:c r="D6" s="118"/>
      <x:c r="E6" s="118"/>
      <x:c r="F6" s="118">
        <x:v>0.9861</x:v>
      </x:c>
      <x:c r="G6" s="118">
        <x:v>0.7536489734</x:v>
      </x:c>
      <x:c r="H6" s="118">
        <x:v>0.5232008921</x:v>
      </x:c>
      <x:c r="I6" s="118">
        <x:v>0.6061249993</x:v>
      </x:c>
      <x:c r="J6" s="118">
        <x:v>0.5087141718</x:v>
      </x:c>
      <x:c r="K6" s="118">
        <x:v>-0.2335510266</x:v>
      </x:c>
      <x:c r="L6" s="118"/>
      <x:c r="M6" s="118"/>
      <x:c r="N6" s="118">
        <x:v>-0.4773858282</x:v>
      </x:c>
      <x:c r="O6" s="117" t="s">
        <x:v>29</x:v>
      </x:c>
    </x:row>
    <x:row r="7" ht="45" customHeight="1">
      <x:c r="A7" s="119" t="s">
        <x:v>30</x:v>
      </x:c>
      <x:c r="B7" s="120" t="s">
        <x:v>31</x:v>
      </x:c>
      <x:c r="C7" s="121">
        <x:v>0.9712</x:v>
      </x:c>
      <x:c r="D7" s="121">
        <x:v>0.9611</x:v>
      </x:c>
      <x:c r="E7" s="121">
        <x:v>0.9623</x:v>
      </x:c>
      <x:c r="F7" s="121">
        <x:v>0.9617</x:v>
      </x:c>
      <x:c r="G7" s="121">
        <x:v>0.9542642382</x:v>
      </x:c>
      <x:c r="H7" s="121">
        <x:v>0.7795622346</x:v>
      </x:c>
      <x:c r="I7" s="121">
        <x:v>0.7112460508</x:v>
      </x:c>
      <x:c r="J7" s="121">
        <x:v>0.7384687412</x:v>
      </x:c>
      <x:c r="K7" s="121">
        <x:v>-0.0169357618</x:v>
      </x:c>
      <x:c r="L7" s="121">
        <x:v>-0.1815377654</x:v>
      </x:c>
      <x:c r="M7" s="121">
        <x:v>-0.2510539492</x:v>
      </x:c>
      <x:c r="N7" s="121">
        <x:v>-0.2232312588</x:v>
      </x:c>
      <x:c r="O7" s="120" t="s">
        <x:v>32</x:v>
      </x:c>
    </x:row>
    <x:row r="8" ht="45" customHeight="1">
      <x:c r="A8" s="116" t="s">
        <x:v>33</x:v>
      </x:c>
      <x:c r="B8" s="117" t="s">
        <x:v>34</x:v>
      </x:c>
      <x:c r="C8" s="118">
        <x:v>0.98</x:v>
      </x:c>
      <x:c r="D8" s="118">
        <x:v>0.909</x:v>
      </x:c>
      <x:c r="E8" s="118">
        <x:v>0.885</x:v>
      </x:c>
      <x:c r="F8" s="118">
        <x:v>0.895</x:v>
      </x:c>
      <x:c r="G8" s="118">
        <x:v>0.9621566927</x:v>
      </x:c>
      <x:c r="H8" s="118">
        <x:v>0.8219448248</x:v>
      </x:c>
      <x:c r="I8" s="118">
        <x:v>0.8534369599</x:v>
      </x:c>
      <x:c r="J8" s="118">
        <x:v>0.8324200938</x:v>
      </x:c>
      <x:c r="K8" s="118">
        <x:v>-0.0178433072999999</x:v>
      </x:c>
      <x:c r="L8" s="118">
        <x:v>-0.0870551752000001</x:v>
      </x:c>
      <x:c r="M8" s="118">
        <x:v>-0.0315630401</x:v>
      </x:c>
      <x:c r="N8" s="118">
        <x:v>-0.0625799062</x:v>
      </x:c>
      <x:c r="O8" s="117" t="s">
        <x:v>35</x:v>
      </x:c>
    </x:row>
    <x:row r="9" ht="48.75" customHeight="1">
      <x:c r="A9" s="119" t="s">
        <x:v>36</x:v>
      </x:c>
      <x:c r="B9" s="120" t="s">
        <x:v>37</x:v>
      </x:c>
      <x:c r="C9" s="121"/>
      <x:c r="D9" s="121"/>
      <x:c r="E9" s="121"/>
      <x:c r="F9" s="121">
        <x:v>0.842</x:v>
      </x:c>
      <x:c r="G9" s="121">
        <x:v>0.968488002312807</x:v>
      </x:c>
      <x:c r="H9" s="121">
        <x:v>0.882781936102311</x:v>
      </x:c>
      <x:c r="I9" s="121">
        <x:v>0.779646802436466</x:v>
      </x:c>
      <x:c r="J9" s="121">
        <x:v>0.819538377971904</x:v>
      </x:c>
      <x:c r="K9" s="121"/>
      <x:c r="L9" s="121"/>
      <x:c r="M9" s="121"/>
      <x:c r="N9" s="121">
        <x:v>-0.0224616220280961</x:v>
      </x:c>
      <x:c r="O9" s="120" t="s">
        <x:v>38</x:v>
      </x:c>
    </x:row>
    <x:row r="10" ht="48.75" customHeight="1">
      <x:c r="A10" s="116" t="str">
        <x:v>ViT-Tiny/16</x:v>
      </x:c>
      <x:c r="B10" s="117" t="str">
        <x:v>WM-38K; 38 классов; leakage-safe stratified 72/8/20; ImageNet pretraining; 224×224</x:v>
      </x:c>
      <x:c r="C10" s="118" t="n">
        <x:v>0.984</x:v>
      </x:c>
      <x:c r="D10" s="118"/>
      <x:c r="E10" s="118"/>
      <x:c r="F10" s="118" t="n">
        <x:v>0.984</x:v>
      </x:c>
      <x:c r="G10" s="118" t="n">
        <x:v>0.9690911482309614</x:v>
      </x:c>
      <x:c r="H10" s="118" t="n">
        <x:v>0.9672287415820354</x:v>
      </x:c>
      <x:c r="I10" s="118" t="n">
        <x:v>0.9700494371767568</x:v>
      </x:c>
      <x:c r="J10" s="118" t="n">
        <x:v>0.9682758652804893</x:v>
      </x:c>
      <x:c r="K10" s="118" t="n">
        <x:v>-0.014908851769038556</x:v>
      </x:c>
      <x:c r="L10" s="118"/>
      <x:c r="M10" s="118"/>
      <x:c r="N10" s="118" t="n">
        <x:v>-0.01572413471951073</x:v>
      </x:c>
      <x:c r="O10" s="117" t="str">
        <x:v>В статье не описаны отдельная validation-выборка и полный набор гиперпараметров. Наш checkpoint выбран без доступа к test; оставшийся разрыв может быть связан с другим разбиением и подбором настроек.</x:v>
      </x:c>
    </x:row>
  </x:sheetData>
  <x:conditionalFormatting sqref="K2:N1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9d9dac27cc442b0"/>
  </x:tableParts>
</x:worksheet>
</file>
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равнение моделей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<sst xmlns="http://schemas.openxmlformats.org/spreadsheetml/2006/main" count="42" uniqueCount="40">
  <si>
    <t xml:space="preserve">Модель</t>
  </si>
  <si>
    <t xml:space="preserve">Датасет / протокол</t>
  </si>
  <si>
    <t xml:space="preserve">Авторы: Accuracy</t>
  </si>
  <si>
    <t xml:space="preserve">Авторы: Precision</t>
  </si>
  <si>
    <t xml:space="preserve">Авторы: Recall</t>
  </si>
  <si>
    <t xml:space="preserve">Авторы: F1</t>
  </si>
  <si>
    <t xml:space="preserve">Мой: Accuracy</t>
  </si>
  <si>
    <t xml:space="preserve">Мой: Precision</t>
  </si>
  <si>
    <t xml:space="preserve">Мой: Recall</t>
  </si>
  <si>
    <t xml:space="preserve">Мой: F1</t>
  </si>
  <si>
    <t xml:space="preserve">Δ Accuracy</t>
  </si>
  <si>
    <t xml:space="preserve">Δ Precision</t>
  </si>
  <si>
    <t xml:space="preserve">Δ Recall</t>
  </si>
  <si>
    <t xml:space="preserve">Δ F1</t>
  </si>
  <si>
    <t xml:space="preserve">Предполагаемые причины расхождения</t>
  </si>
  <si>
    <t xml:space="preserve">Baseline (ResNet-18)</t>
  </si>
  <si>
    <t xml:space="preserve">WM-811K; 10% labeled; SMOTE; random 80/20 split</t>
  </si>
  <si>
    <t xml:space="preserve">Текущий результат получен всего за 2 эпохи; отличаются разбиение данных, SMOTE и предобработка. Высокая общая доля правильных ответов скрывает низкую полноту редких классов.</t>
  </si>
  <si>
    <t xml:space="preserve">Mean Teacher</t>
  </si>
  <si>
    <t xml:space="preserve">WM-811K; 10% labeled + unlabeled; SMOTE; random 80/20 split</t>
  </si>
  <si>
    <t xml:space="preserve">Всего 2 эпохи; результат чувствителен к аугментациям и составу пула неразмеченных данных. Возможны различия в расчёте макроусреднённых метрик.</t>
  </si>
  <si>
    <t xml:space="preserve">SupCon</t>
  </si>
  <si>
    <t xml:space="preserve">Всего 2 эпохи; контрастивное представление обычно требует подбора температуры и аугментаций.</t>
  </si>
  <si>
    <t xml:space="preserve">Mean Teacher + SupCon</t>
  </si>
  <si>
    <t xml:space="preserve">Всего 2 эпохи; одновременно не настроены компоненты полуконтролируемого и контрастивного обучения. Отличаются разбиение, балансировка и протокол расчёта метрик.</t>
  </si>
  <si>
    <t xml:space="preserve">VAE latent-vector representation</t>
  </si>
  <si>
    <t xml:space="preserve">WM-811K; 10% labeled; SMOTE; ResNet-50 teacher/student</t>
  </si>
  <si>
    <t xml:space="preserve">Статья не полностью задаёт расписание VAE и псевдоразметки; результат чувствителен к top-K, качеству учителя и дообучению. Возможно другое разбиение или усреднение метрик.</t>
  </si>
  <si>
    <t xml:space="preserve">CBAM-CNN</t>
  </si>
  <si>
    <t xml:space="preserve">WM-811K subset только native 26×26; train-only CAE augmentation</t>
  </si>
  <si>
    <t xml:space="preserve">Очень малая и крайне редкая подвыборка карт исходного размера 26×26; честное разбиение оставляет единицы образцов некоторых классов. В статье вероятна утечка через CAE-аугментацию или использована другая выборка.</t>
  </si>
  <si>
    <t xml:space="preserve">SemiWaferNet Hybrid CNN–ViT</t>
  </si>
  <si>
    <t xml:space="preserve">WM-811K official split; 32×32; balanced labeled + 150k unlabeled</t>
  </si>
  <si>
    <t xml:space="preserve">Слабый исходный учитель и ошибки псевдоразметки накапливаются по стадиям; не описаны пороги и расписание. Возможны другая официальная подвыборка и утечка при повторной выборке данных.</t>
  </si>
  <si>
    <t xml:space="preserve">MM-WAE</t>
  </si>
  <si>
    <t xml:space="preserve">WM-811K; leakage-safe stratified 70/10/20; 10% labeled; 32×32</t>
  </si>
  <si>
    <t xml:space="preserve">Accuracy близка, но макроусреднённые метрики проседают на Scratch и Loc типам дефектов; результат чувствителен к весам функций потерь, ширине ядра MMD, весам классов и разбиению.</t>
  </si>
  <si>
    <t xml:space="preserve">MobileNetV3-Small (Efficient CNN)</t>
  </si>
  <si>
    <t xml:space="preserve">WM-811K labeled; leakage-safe 80/20 + 4-fold; train-only oversampling; 224×224</t>
  </si>
  <si>
    <t xml:space="preserve">Статья не указывает использование предобученных весов, число эпох, планировщик скорости обучения и параметры аугментаций. Возможна утечка из-за аугментации до разбиения; основной разрыв — в precision редких классов.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</si>
</sst>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4F7FB"/>
        <bgColor rgb="FFFF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medium">
        <color rgb="FF2F5597"/>
      </left>
      <right/>
      <top style="medium">
        <color rgb="FF2F5597"/>
      </top>
      <bottom style="medium">
        <color rgb="FF2F5597"/>
      </bottom>
      <diagonal/>
    </border>
    <border diagonalUp="false" diagonalDown="false">
      <left/>
      <right/>
      <top style="medium">
        <color rgb="FF2F5597"/>
      </top>
      <bottom style="medium">
        <color rgb="FF2F5597"/>
      </bottom>
      <diagonal/>
    </border>
    <border diagonalUp="false" diagonalDown="false">
      <left/>
      <right style="medium">
        <color rgb="FF2F5597"/>
      </right>
      <top style="medium">
        <color rgb="FF2F5597"/>
      </top>
      <bottom style="medium">
        <color rgb="FF2F5597"/>
      </bottom>
      <diagonal/>
    </border>
    <border diagonalUp="false" diagonalDown="false">
      <left/>
      <right/>
      <top/>
      <bottom style="thin">
        <color rgb="FFD9E2F3"/>
      </bottom>
      <diagonal/>
    </border>
    <border diagonalUp="false" diagonalDown="false">
      <left/>
      <right/>
      <top style="thin">
        <color rgb="FFD9E2F3"/>
      </top>
      <bottom style="thin">
        <color rgb="FFD9E2F3"/>
      </bottom>
      <diagonal/>
    </border>
    <border diagonalUp="false" diagonalDown="false">
      <left/>
      <right/>
      <top style="thin">
        <color rgb="FFD9E2F3"/>
      </top>
      <bottom style="thin">
        <color rgb="FFA6A6A6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3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4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4" xfId="2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4" fillId="3" borderId="5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3" borderId="5" xfId="2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4" fillId="0" borderId="5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5" xfId="2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4" fillId="0" borderId="6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6" xfId="20" applyFont="true" applyBorder="true" applyAlignment="true" applyProtection="false">
      <alignment horizontal="right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35">
    <dxf>
      <fill>
        <patternFill patternType="solid">
          <fgColor rgb="FF4472C4"/>
          <bgColor rgb="FF000000"/>
        </patternFill>
      </fill>
    </dxf>
    <dxf>
      <fill>
        <patternFill patternType="solid">
          <fgColor rgb="FFF4F7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7EC67D"/>
          <bgColor rgb="FF000000"/>
        </patternFill>
      </fill>
    </dxf>
    <dxf>
      <fill>
        <patternFill patternType="solid">
          <fgColor rgb="FF90CB7E"/>
          <bgColor rgb="FF000000"/>
        </patternFill>
      </fill>
    </dxf>
    <dxf>
      <fill>
        <patternFill patternType="solid">
          <fgColor rgb="FF92CC7E"/>
          <bgColor rgb="FF000000"/>
        </patternFill>
      </fill>
    </dxf>
    <dxf>
      <fill>
        <patternFill patternType="solid">
          <fgColor rgb="FFFBB279"/>
          <bgColor rgb="FF000000"/>
        </patternFill>
      </fill>
    </dxf>
    <dxf>
      <fill>
        <patternFill patternType="solid">
          <fgColor rgb="FFFDD37F"/>
          <bgColor rgb="FF000000"/>
        </patternFill>
      </fill>
    </dxf>
    <dxf>
      <fill>
        <patternFill patternType="solid">
          <fgColor rgb="FFFEE683"/>
          <bgColor rgb="FF000000"/>
        </patternFill>
      </fill>
    </dxf>
    <dxf>
      <fill>
        <patternFill patternType="solid">
          <fgColor rgb="FFFEE883"/>
          <bgColor rgb="FF000000"/>
        </patternFill>
      </fill>
    </dxf>
    <dxf>
      <fill>
        <patternFill patternType="solid">
          <fgColor rgb="FFD9E182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CBF7B"/>
          <bgColor rgb="FF000000"/>
        </patternFill>
      </fill>
    </dxf>
    <dxf>
      <fill>
        <patternFill patternType="solid">
          <fgColor rgb="FFFCC07B"/>
          <bgColor rgb="FF000000"/>
        </patternFill>
      </fill>
    </dxf>
    <dxf>
      <fill>
        <patternFill patternType="solid">
          <fgColor rgb="FFFDC87D"/>
          <bgColor rgb="FF000000"/>
        </patternFill>
      </fill>
    </dxf>
    <dxf>
      <fill>
        <patternFill patternType="solid">
          <fgColor rgb="FFFDCE7E"/>
          <bgColor rgb="FF000000"/>
        </patternFill>
      </fill>
    </dxf>
    <dxf>
      <fill>
        <patternFill patternType="solid">
          <fgColor rgb="FFFDD57F"/>
          <bgColor rgb="FF000000"/>
        </patternFill>
      </fill>
    </dxf>
    <dxf>
      <fill>
        <patternFill patternType="solid">
          <fgColor rgb="FFFEDB80"/>
          <bgColor rgb="FF000000"/>
        </patternFill>
      </fill>
    </dxf>
    <dxf>
      <fill>
        <patternFill patternType="solid">
          <fgColor rgb="FFF9806F"/>
          <bgColor rgb="FF000000"/>
        </patternFill>
      </fill>
    </dxf>
    <dxf>
      <fill>
        <patternFill patternType="solid">
          <fgColor rgb="FFFBAE78"/>
          <bgColor rgb="FF000000"/>
        </patternFill>
      </fill>
    </dxf>
    <dxf>
      <fill>
        <patternFill patternType="solid">
          <fgColor rgb="FFFEDA80"/>
          <bgColor rgb="FF000000"/>
        </patternFill>
      </fill>
    </dxf>
    <dxf>
      <fill>
        <patternFill patternType="solid">
          <fgColor rgb="FFFEDE81"/>
          <bgColor rgb="FF000000"/>
        </patternFill>
      </fill>
    </dxf>
    <dxf>
      <fill>
        <patternFill patternType="solid">
          <fgColor rgb="FFFEDF81"/>
          <bgColor rgb="FF000000"/>
        </patternFill>
      </fill>
    </dxf>
    <dxf>
      <fill>
        <patternFill patternType="solid">
          <fgColor rgb="FFFEE382"/>
          <bgColor rgb="FF000000"/>
        </patternFill>
      </fill>
    </dxf>
    <dxf>
      <fill>
        <patternFill patternType="solid">
          <fgColor rgb="FFF86D6B"/>
          <bgColor rgb="FF000000"/>
        </patternFill>
      </fill>
    </dxf>
    <dxf>
      <fill>
        <patternFill patternType="solid">
          <fgColor rgb="FFF8776D"/>
          <bgColor rgb="FF000000"/>
        </patternFill>
      </fill>
    </dxf>
    <dxf>
      <fill>
        <patternFill patternType="solid">
          <fgColor rgb="FFFCB579"/>
          <bgColor rgb="FF000000"/>
        </patternFill>
      </fill>
    </dxf>
    <dxf>
      <fill>
        <patternFill patternType="solid">
          <fgColor rgb="FFFDCB7D"/>
          <bgColor rgb="FF000000"/>
        </patternFill>
      </fill>
    </dxf>
    <dxf>
      <fill>
        <patternFill patternType="solid">
          <fgColor rgb="FFFDCD7E"/>
          <bgColor rgb="FF000000"/>
        </patternFill>
      </fill>
    </dxf>
    <dxf>
      <fill>
        <patternFill patternType="solid">
          <fgColor rgb="FFFDCF7E"/>
          <bgColor rgb="FF000000"/>
        </patternFill>
      </fill>
    </dxf>
    <dxf>
      <fill>
        <patternFill patternType="solid">
          <fgColor rgb="FFFDD780"/>
          <bgColor rgb="FF000000"/>
        </patternFill>
      </fill>
    </dxf>
    <dxf>
      <fill>
        <patternFill patternType="solid">
          <fgColor rgb="FFFDD880"/>
          <bgColor rgb="FF000000"/>
        </patternFill>
      </fill>
    </dxf>
    <dxf>
      <fill>
        <patternFill patternType="solid">
          <fgColor rgb="FFFEDB8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7FB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ModelMetricsComparison" displayName="ModelMetricsComparison" ref="A1:O10" headerRowCount="1" totalsRowCount="0" totalsRowShown="0">
  <autoFilter ref="A1:O10"/>
  <tableColumns count="15">
    <tableColumn id="1" name="Модель"/>
    <tableColumn id="2" name="Датасет / протокол"/>
    <tableColumn id="3" name="Авторы: Accuracy"/>
    <tableColumn id="4" name="Авторы: Precision"/>
    <tableColumn id="5" name="Авторы: Recall"/>
    <tableColumn id="6" name="Авторы: F1"/>
    <tableColumn id="7" name="Мой: Accuracy"/>
    <tableColumn id="8" name="Мой: Precision"/>
    <tableColumn id="9" name="Мой: Recall"/>
    <tableColumn id="10" name="Мой: F1"/>
    <tableColumn id="11" name="Δ Accuracy"/>
    <tableColumn id="12" name="Δ Precision"/>
    <tableColumn id="13" name="Δ Recall"/>
    <tableColumn id="14" name="Δ F1"/>
    <tableColumn id="15" name="Предполагаемые причины расхождения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"/>
  <sheetViews>
    <sheetView showFormulas="false" showGridLines="false" showRowColHeaders="true" showZeros="true" rightToLeft="false" tabSelected="true" showOutlineSymbols="true" defaultGridColor="true" view="normal" topLeftCell="G1" colorId="64" zoomScale="85" zoomScaleNormal="85" zoomScalePageLayoutView="100" workbookViewId="0">
      <selection pane="topLeft" activeCell="O10" activeCellId="0" sqref="O10"/>
    </sheetView>
  </sheetViews>
  <sheetFormatPr defaultColWidth="8.48828125" defaultRowHeight="15" zeroHeight="false" outlineLevelRow="0" outlineLevelCol="0"/>
  <cols>
    <col collapsed="false" customWidth="true" hidden="false" outlineLevel="0" max="1" min="1" style="0" width="29"/>
    <col collapsed="false" customWidth="true" hidden="false" outlineLevel="0" max="2" min="2" style="0" width="42"/>
    <col collapsed="false" customWidth="true" hidden="false" outlineLevel="0" max="14" min="3" style="0" width="16"/>
    <col collapsed="false" customWidth="true" hidden="false" outlineLevel="0" max="15" min="15" style="0" width="58"/>
  </cols>
  <sheetData>
    <row r="1" customFormat="false" ht="30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</row>
    <row r="2" customFormat="false" ht="43.45" hidden="false" customHeight="true" outlineLevel="0" collapsed="false">
      <c r="A2" s="4" t="s">
        <v>15</v>
      </c>
      <c r="B2" s="4" t="s">
        <v>16</v>
      </c>
      <c r="C2" s="5" t="n">
        <v>0.7917</v>
      </c>
      <c r="D2" s="5" t="n">
        <v>0.7956</v>
      </c>
      <c r="E2" s="5" t="n">
        <v>0.7899</v>
      </c>
      <c r="F2" s="5" t="n">
        <v>0.7887</v>
      </c>
      <c r="G2" s="5" t="n">
        <v>0.9496964441</v>
      </c>
      <c r="H2" s="5" t="n">
        <v>0.8341579926</v>
      </c>
      <c r="I2" s="5" t="n">
        <v>0.6459195682</v>
      </c>
      <c r="J2" s="5" t="n">
        <v>0.7059864431</v>
      </c>
      <c r="K2" s="5" t="n">
        <f aca="false">IF(OR(C2="",G2=""),"",G2-C2)</f>
        <v>0.1579964441</v>
      </c>
      <c r="L2" s="5" t="n">
        <f aca="false">IF(OR(D2="",H2=""),"",H2-D2)</f>
        <v>0.0385579926</v>
      </c>
      <c r="M2" s="5" t="n">
        <f aca="false">IF(OR(E2="",I2=""),"",I2-E2)</f>
        <v>-0.1439804318</v>
      </c>
      <c r="N2" s="5" t="n">
        <f aca="false">IF(OR(F2="",J2=""),"",J2-F2)</f>
        <v>-0.0827135568999999</v>
      </c>
      <c r="O2" s="4" t="s">
        <v>17</v>
      </c>
    </row>
    <row r="3" customFormat="false" ht="52.5" hidden="false" customHeight="true" outlineLevel="0" collapsed="false">
      <c r="A3" s="6" t="s">
        <v>18</v>
      </c>
      <c r="B3" s="6" t="s">
        <v>19</v>
      </c>
      <c r="C3" s="7" t="n">
        <v>0.8114</v>
      </c>
      <c r="D3" s="7" t="n">
        <v>0.8255</v>
      </c>
      <c r="E3" s="7" t="n">
        <v>0.8115</v>
      </c>
      <c r="F3" s="7" t="n">
        <v>0.8129</v>
      </c>
      <c r="G3" s="7" t="n">
        <v>0.9423532813</v>
      </c>
      <c r="H3" s="7" t="n">
        <v>0.6489157538</v>
      </c>
      <c r="I3" s="7" t="n">
        <v>0.7596512398</v>
      </c>
      <c r="J3" s="7" t="n">
        <v>0.689998663</v>
      </c>
      <c r="K3" s="7" t="n">
        <f aca="false">IF(OR(C3="",G3=""),"",G3-C3)</f>
        <v>0.1309532813</v>
      </c>
      <c r="L3" s="7" t="n">
        <f aca="false">IF(OR(D3="",H3=""),"",H3-D3)</f>
        <v>-0.1765842462</v>
      </c>
      <c r="M3" s="7" t="n">
        <f aca="false">IF(OR(E3="",I3=""),"",I3-E3)</f>
        <v>-0.0518487602</v>
      </c>
      <c r="N3" s="7" t="n">
        <f aca="false">IF(OR(F3="",J3=""),"",J3-F3)</f>
        <v>-0.122901337</v>
      </c>
      <c r="O3" s="6" t="s">
        <v>20</v>
      </c>
    </row>
    <row r="4" customFormat="false" ht="42" hidden="false" customHeight="true" outlineLevel="0" collapsed="false">
      <c r="A4" s="8" t="s">
        <v>21</v>
      </c>
      <c r="B4" s="8" t="s">
        <v>16</v>
      </c>
      <c r="C4" s="9" t="n">
        <v>0.8413</v>
      </c>
      <c r="D4" s="9" t="n">
        <v>0.8553</v>
      </c>
      <c r="E4" s="9" t="n">
        <v>0.8337</v>
      </c>
      <c r="F4" s="9" t="n">
        <v>0.8298</v>
      </c>
      <c r="G4" s="9" t="n">
        <v>0.9540907777</v>
      </c>
      <c r="H4" s="9" t="n">
        <v>0.7386761339</v>
      </c>
      <c r="I4" s="9" t="n">
        <v>0.7881932752</v>
      </c>
      <c r="J4" s="9" t="n">
        <v>0.7512159581</v>
      </c>
      <c r="K4" s="9" t="n">
        <f aca="false">IF(OR(C4="",G4=""),"",G4-C4)</f>
        <v>0.1127907777</v>
      </c>
      <c r="L4" s="9" t="n">
        <f aca="false">IF(OR(D4="",H4=""),"",H4-D4)</f>
        <v>-0.1166238661</v>
      </c>
      <c r="M4" s="9" t="n">
        <f aca="false">IF(OR(E4="",I4=""),"",I4-E4)</f>
        <v>-0.0455067248</v>
      </c>
      <c r="N4" s="9" t="n">
        <f aca="false">IF(OR(F4="",J4=""),"",J4-F4)</f>
        <v>-0.0785840419</v>
      </c>
      <c r="O4" s="8" t="s">
        <v>22</v>
      </c>
    </row>
    <row r="5" customFormat="false" ht="66" hidden="false" customHeight="true" outlineLevel="0" collapsed="false">
      <c r="A5" s="6" t="s">
        <v>23</v>
      </c>
      <c r="B5" s="6" t="s">
        <v>19</v>
      </c>
      <c r="C5" s="7" t="n">
        <v>0.8463</v>
      </c>
      <c r="D5" s="7" t="n">
        <v>0.8624</v>
      </c>
      <c r="E5" s="7" t="n">
        <v>0.8441</v>
      </c>
      <c r="F5" s="7" t="n">
        <v>0.834</v>
      </c>
      <c r="G5" s="7" t="n">
        <v>0.9575310783</v>
      </c>
      <c r="H5" s="7" t="n">
        <v>0.7192984243</v>
      </c>
      <c r="I5" s="7" t="n">
        <v>0.7743321524</v>
      </c>
      <c r="J5" s="7" t="n">
        <v>0.7213993019</v>
      </c>
      <c r="K5" s="7" t="n">
        <f aca="false">IF(OR(C5="",G5=""),"",G5-C5)</f>
        <v>0.1112310783</v>
      </c>
      <c r="L5" s="7" t="n">
        <f aca="false">IF(OR(D5="",H5=""),"",H5-D5)</f>
        <v>-0.1431015757</v>
      </c>
      <c r="M5" s="7" t="n">
        <f aca="false">IF(OR(E5="",I5=""),"",I5-E5)</f>
        <v>-0.0697678476</v>
      </c>
      <c r="N5" s="7" t="n">
        <f aca="false">IF(OR(F5="",J5=""),"",J5-F5)</f>
        <v>-0.1126006981</v>
      </c>
      <c r="O5" s="6" t="s">
        <v>24</v>
      </c>
    </row>
    <row r="6" customFormat="false" ht="66" hidden="false" customHeight="true" outlineLevel="0" collapsed="false">
      <c r="A6" s="8" t="s">
        <v>25</v>
      </c>
      <c r="B6" s="8" t="s">
        <v>26</v>
      </c>
      <c r="C6" s="9" t="n">
        <v>0.977</v>
      </c>
      <c r="D6" s="9" t="n">
        <v>0.946</v>
      </c>
      <c r="E6" s="9" t="n">
        <v>0.912</v>
      </c>
      <c r="F6" s="9" t="n">
        <v>0.962</v>
      </c>
      <c r="G6" s="9" t="n">
        <v>0.9668979474</v>
      </c>
      <c r="H6" s="9" t="n">
        <v>0.8804275468</v>
      </c>
      <c r="I6" s="9" t="n">
        <v>0.794888062</v>
      </c>
      <c r="J6" s="9" t="n">
        <v>0.8314339052</v>
      </c>
      <c r="K6" s="9" t="n">
        <f aca="false">IF(OR(C6="",G6=""),"",G6-C6)</f>
        <v>-0.0101020526</v>
      </c>
      <c r="L6" s="9" t="n">
        <f aca="false">IF(OR(D6="",H6=""),"",H6-D6)</f>
        <v>-0.0655724531999999</v>
      </c>
      <c r="M6" s="9" t="n">
        <f aca="false">IF(OR(E6="",I6=""),"",I6-E6)</f>
        <v>-0.117111938</v>
      </c>
      <c r="N6" s="9" t="n">
        <f aca="false">IF(OR(F6="",J6=""),"",J6-F6)</f>
        <v>-0.1305660948</v>
      </c>
      <c r="O6" s="8" t="s">
        <v>27</v>
      </c>
    </row>
    <row r="7" customFormat="false" ht="66" hidden="false" customHeight="true" outlineLevel="0" collapsed="false">
      <c r="A7" s="6" t="s">
        <v>28</v>
      </c>
      <c r="B7" s="6" t="s">
        <v>29</v>
      </c>
      <c r="C7" s="7" t="n">
        <v>0.9988</v>
      </c>
      <c r="D7" s="7" t="n">
        <v>0.9956</v>
      </c>
      <c r="E7" s="7" t="n">
        <v>0.99</v>
      </c>
      <c r="F7" s="7" t="n">
        <v>0.9983</v>
      </c>
      <c r="G7" s="7" t="n">
        <v>0.9024390244</v>
      </c>
      <c r="H7" s="7" t="n">
        <v>0.4578177412</v>
      </c>
      <c r="I7" s="7" t="n">
        <v>0.5500783424</v>
      </c>
      <c r="J7" s="7" t="n">
        <v>0.4785992066</v>
      </c>
      <c r="K7" s="7" t="n">
        <f aca="false">IF(OR(C7="",G7=""),"",G7-C7)</f>
        <v>-0.0963609756</v>
      </c>
      <c r="L7" s="7" t="n">
        <f aca="false">IF(OR(D7="",H7=""),"",H7-D7)</f>
        <v>-0.5377822588</v>
      </c>
      <c r="M7" s="7" t="n">
        <f aca="false">IF(OR(E7="",I7=""),"",I7-E7)</f>
        <v>-0.4399216576</v>
      </c>
      <c r="N7" s="7" t="n">
        <f aca="false">IF(OR(F7="",J7=""),"",J7-F7)</f>
        <v>-0.5197007934</v>
      </c>
      <c r="O7" s="6" t="s">
        <v>30</v>
      </c>
    </row>
    <row r="8" customFormat="false" ht="66" hidden="false" customHeight="true" outlineLevel="0" collapsed="false">
      <c r="A8" s="8" t="s">
        <v>31</v>
      </c>
      <c r="B8" s="8" t="s">
        <v>32</v>
      </c>
      <c r="C8" s="9" t="n">
        <v>0.9872</v>
      </c>
      <c r="D8" s="9"/>
      <c r="E8" s="9"/>
      <c r="F8" s="9" t="n">
        <v>0.9861</v>
      </c>
      <c r="G8" s="9" t="n">
        <v>0.7536489734</v>
      </c>
      <c r="H8" s="9" t="n">
        <v>0.5232008921</v>
      </c>
      <c r="I8" s="9" t="n">
        <v>0.6061249993</v>
      </c>
      <c r="J8" s="9" t="n">
        <v>0.5087141718</v>
      </c>
      <c r="K8" s="9" t="n">
        <f aca="false">IF(OR(C8="",G8=""),"",G8-C8)</f>
        <v>-0.2335510266</v>
      </c>
      <c r="L8" s="9" t="str">
        <f aca="false">IF(OR(D8="",H8=""),"",H8-D8)</f>
        <v/>
      </c>
      <c r="M8" s="9" t="str">
        <f aca="false">IF(OR(E8="",I8=""),"",I8-E8)</f>
        <v/>
      </c>
      <c r="N8" s="9" t="n">
        <f aca="false">IF(OR(F8="",J8=""),"",J8-F8)</f>
        <v>-0.4773858282</v>
      </c>
      <c r="O8" s="8" t="s">
        <v>33</v>
      </c>
    </row>
    <row r="9" customFormat="false" ht="66" hidden="false" customHeight="true" outlineLevel="0" collapsed="false">
      <c r="A9" s="6" t="s">
        <v>34</v>
      </c>
      <c r="B9" s="6" t="s">
        <v>35</v>
      </c>
      <c r="C9" s="7" t="n">
        <v>0.9712</v>
      </c>
      <c r="D9" s="7" t="n">
        <v>0.9611</v>
      </c>
      <c r="E9" s="7" t="n">
        <v>0.9623</v>
      </c>
      <c r="F9" s="7" t="n">
        <v>0.9617</v>
      </c>
      <c r="G9" s="7" t="n">
        <v>0.9542642382</v>
      </c>
      <c r="H9" s="7" t="n">
        <v>0.7795622346</v>
      </c>
      <c r="I9" s="7" t="n">
        <v>0.7112460508</v>
      </c>
      <c r="J9" s="7" t="n">
        <v>0.7384687412</v>
      </c>
      <c r="K9" s="7" t="n">
        <f aca="false">IF(OR(C9="",G9=""),"",G9-C9)</f>
        <v>-0.0169357618</v>
      </c>
      <c r="L9" s="7" t="n">
        <f aca="false">IF(OR(D9="",H9=""),"",H9-D9)</f>
        <v>-0.1815377654</v>
      </c>
      <c r="M9" s="7" t="n">
        <f aca="false">IF(OR(E9="",I9=""),"",I9-E9)</f>
        <v>-0.2510539492</v>
      </c>
      <c r="N9" s="7" t="n">
        <f aca="false">IF(OR(F9="",J9=""),"",J9-F9)</f>
        <v>-0.2232312588</v>
      </c>
      <c r="O9" s="6" t="s">
        <v>36</v>
      </c>
    </row>
    <row r="10" customFormat="false" ht="66" hidden="false" customHeight="true" outlineLevel="0" collapsed="false">
      <c r="A10" s="10" t="s">
        <v>37</v>
      </c>
      <c r="B10" s="10" t="s">
        <v>38</v>
      </c>
      <c r="C10" s="11" t="n">
        <v>0.98</v>
      </c>
      <c r="D10" s="11" t="n">
        <v>0.909</v>
      </c>
      <c r="E10" s="11" t="n">
        <v>0.885</v>
      </c>
      <c r="F10" s="11" t="n">
        <v>0.895</v>
      </c>
      <c r="G10" s="11" t="n">
        <v>0.9621566927</v>
      </c>
      <c r="H10" s="11" t="n">
        <v>0.8219448248</v>
      </c>
      <c r="I10" s="11" t="n">
        <v>0.8534369599</v>
      </c>
      <c r="J10" s="11" t="n">
        <v>0.8324200938</v>
      </c>
      <c r="K10" s="11" t="n">
        <f aca="false">IF(OR(C10="",G10=""),"",G10-C10)</f>
        <v>-0.0178433072999999</v>
      </c>
      <c r="L10" s="11" t="n">
        <f aca="false">IF(OR(D10="",H10=""),"",H10-D10)</f>
        <v>-0.0870551752000001</v>
      </c>
      <c r="M10" s="11" t="n">
        <f aca="false">IF(OR(E10="",I10=""),"",I10-E10)</f>
        <v>-0.0315630401</v>
      </c>
      <c r="N10" s="11" t="n">
        <f aca="false">IF(OR(F10="",J10=""),"",J10-F10)</f>
        <v>-0.0625799062</v>
      </c>
      <c r="O10" s="10" t="s">
        <v>39</v>
      </c>
    </row>
    <row r="11" customFormat="false" ht="66" hidden="false" customHeight="true" outlineLevel="0" collapsed="false"/>
    <row r="12" customFormat="false" ht="66" hidden="false" customHeight="true" outlineLevel="0" collapsed="false"/>
    <row r="13" customFormat="false" ht="66" hidden="false" customHeight="true" outlineLevel="0" collapsed="false"/>
    <row r="15" customFormat="false" ht="36" hidden="false" customHeight="true" outlineLevel="0" collapsed="false"/>
  </sheetData>
  <conditionalFormatting sqref="K2:N10">
    <cfRule type="colorScale" priority="2">
      <colorScale>
        <cfvo type="min" val="0"/>
        <cfvo type="num" val="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LibreOffice/24.8.0.3$MacOSX_AARCH64 LibreOffice_project/0bdf1299c94fe897b119f97f3c613e9dca6be583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2026-07-27T18:05:16Z</dcterms:modified>
  <cp:revision>1</cp:revision>
  <dc:subject/>
  <dc:title/>
</cp:coreProperties>
</file>
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1101b5962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равнение моделей" sheetId="1" r:id="R9bcbfc827ce24989"/>
  </x:sheets>
</x:workbook>
</file>

<file path=xl/sharedStrings.xml><?xml version="1.0" encoding="utf-8"?>
<x:sst xmlns:x="http://schemas.openxmlformats.org/spreadsheetml/2006/main">
  <x:si>
    <x:t xml:space="preserve">Модель</x:t>
  </x:si>
  <x:si>
    <x:t xml:space="preserve">Датасет / протокол</x:t>
  </x:si>
  <x:si>
    <x:t xml:space="preserve">Авторы: Accuracy</x:t>
  </x:si>
  <x:si>
    <x:t xml:space="preserve">Авторы: Precision</x:t>
  </x:si>
  <x:si>
    <x:t xml:space="preserve">Авторы: Recall</x:t>
  </x:si>
  <x:si>
    <x:t xml:space="preserve">Авторы: F1</x:t>
  </x:si>
  <x:si>
    <x:t xml:space="preserve">Мой: Accuracy</x:t>
  </x:si>
  <x:si>
    <x:t xml:space="preserve">Мой: Precision</x:t>
  </x:si>
  <x:si>
    <x:t xml:space="preserve">Мой: Recall</x:t>
  </x:si>
  <x:si>
    <x:t xml:space="preserve">Мой: F1</x:t>
  </x:si>
  <x:si>
    <x:t xml:space="preserve">Δ Accuracy</x:t>
  </x:si>
  <x:si>
    <x:t xml:space="preserve">Δ Precision</x:t>
  </x:si>
  <x:si>
    <x:t xml:space="preserve">Δ Recall</x:t>
  </x:si>
  <x:si>
    <x:t xml:space="preserve">Δ F1</x:t>
  </x:si>
  <x:si>
    <x:t xml:space="preserve">Предполагаемые причины расхождения</x:t>
  </x:si>
  <x:si>
    <x:t xml:space="preserve">Baseline (ResNet-18)</x:t>
  </x:si>
  <x:si>
    <x:t xml:space="preserve">WM-811K; 10% labeled; SMOTE; random 80/20 split</x:t>
  </x:si>
  <x:si>
    <x:t xml:space="preserve">Большая разница в Accuracy связана с иным распределением test и сильным дисбалансом WM-811K.</x:t>
  </x:si>
  <x:si>
    <x:t xml:space="preserve">Mean Teacher</x:t>
  </x:si>
  <x:si>
    <x:t xml:space="preserve">WM-811K; 10% labeled + unlabeled; SMOTE; random 80/20 split</x:t>
  </x:si>
  <x:si>
    <x:t xml:space="preserve">Возможные дефекты: оценивается student вместо EMA-teacher (в статье не указано, какую именно модель они оценивали)</x:t>
  </x:si>
  <x:si>
    <x:t xml:space="preserve">VAE latent-vector representation</x:t>
  </x:si>
  <x:si>
    <x:t xml:space="preserve">WM-811K; 10% labeled; SMOTE; ResNet-50 teacher/student</x:t>
  </x:si>
  <x:si>
    <x:t xml:space="preserve">Статья не полностью задаёт расписание VAE и псевдоразметки; результат чувствителен к top-K, качеству учителя и дообучению. Возможно другое разбиение или усреднение метрик.</x:t>
  </x:si>
  <x:si>
    <x:t xml:space="preserve">CBAM-CNN</x:t>
  </x:si>
  <x:si>
    <x:t xml:space="preserve">WM-811K subset только native 26×26; train-only CAE augmentation</x:t>
  </x:si>
  <x:si>
    <x:t xml:space="preserve">Очень малая и крайне редкая подвыборка карт исходного размера 26×26; честное разбиение оставляет единицы образцов некоторых классов. В статье вероятна утечка через CAE-аугментацию или использована другая выборка.</x:t>
  </x:si>
  <x:si>
    <x:t xml:space="preserve">SemiWaferNet Hybrid CNN–ViT</x:t>
  </x:si>
  <x:si>
    <x:t xml:space="preserve">WM-811K official split; 32×32; balanced labeled + 150k unlabeled</x:t>
  </x:si>
  <x:si>
    <x:t xml:space="preserve">Слабый исходный учитель и ошибки псевдоразметки накапливаются по стадиям; не описаны пороги и расписание. Возможны другая официальная подвыборка и утечка при повторной выборке данных.</x:t>
  </x:si>
  <x:si>
    <x:t xml:space="preserve">MM-WAE</x:t>
  </x:si>
  <x:si>
    <x:t xml:space="preserve">WM-811K; leakage-safe stratified 70/10/20; 10% labeled; 32×32</x:t>
  </x:si>
  <x:si>
    <x:t xml:space="preserve">Accuracy близка, но макроусреднённые метрики проседают на Scratch и Loc типам дефектов; результат чувствителен к весам функций потерь, ширине ядра MMD, весам классов и разбиению.</x:t>
  </x:si>
  <x:si>
    <x:t xml:space="preserve">MobileNetV3-Small (Efficient CNN)</x:t>
  </x:si>
  <x:si>
    <x:t xml:space="preserve">WM-811K labeled; leakage-safe 80/20 + 4-fold; train-only oversampling; 224×224</x:t>
  </x:si>
  <x:si>
    <x:t xml:space="preserve">Статья не указывает использование предобученных весов, число эпох, планировщик скорости обучения и параметры аугментаций. Возможна утечка из-за аугментации до разбиения; основной разрыв — в precision редких классов.</x:t>
  </x:si>
</x:sst>
</file>

<file path=xl/styles.xml><?xml version="1.0" encoding="utf-8"?>
<x:styleSheet xmlns:x="http://schemas.openxmlformats.org/spreadsheetml/2006/main">
  <x:numFmts count="7">
    <x:numFmt numFmtId="164" formatCode="General"/>
    <x:numFmt numFmtId="165" formatCode="_-* #,##0.00_р_._-;\-* #,##0.00_р_._-;_-* \-??_р_._-;_-@_-"/>
    <x:numFmt numFmtId="166" formatCode="_-* #,##0_р_._-;\-* #,##0_р_._-;_-* \-_р_._-;_-@_-"/>
    <x:numFmt numFmtId="167" formatCode="_-* #,##0.00&quot;р.&quot;_-;\-* #,##0.00&quot;р.&quot;_-;_-* \-??&quot;р.&quot;_-;_-@_-"/>
    <x:numFmt numFmtId="168" formatCode="_-* #,##0&quot;р.&quot;_-;\-* #,##0&quot;р.&quot;_-;_-* &quot;-р.&quot;_-;_-@_-"/>
    <x:numFmt numFmtId="169" formatCode="0%"/>
    <x:numFmt numFmtId="170" formatCode="0.00%"/>
  </x:numFmts>
  <x:fonts count="7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F4F7FB"/>
      </x:patternFill>
    </x:fill>
    <x:fill>
      <x:patternFill patternType="solid">
        <x:fgColor rgb="FFFFE582"/>
      </x:patternFill>
    </x:fill>
  </x:fills>
  <x:borders count="7">
    <x:border diagonalUp="0" diagonalDown="0"/>
    <x:border diagonalUp="0" diagonalDown="0">
      <x:left style="medium">
        <x:color rgb="FF2F5597"/>
      </x:left>
      <x:top style="medium">
        <x:color rgb="FF2F5597"/>
      </x:top>
      <x:bottom style="medium">
        <x:color rgb="FF2F5597"/>
      </x:bottom>
    </x:border>
    <x:border diagonalUp="0" diagonalDown="0">
      <x:top style="medium">
        <x:color rgb="FF2F5597"/>
      </x:top>
      <x:bottom style="medium">
        <x:color rgb="FF2F5597"/>
      </x:bottom>
    </x:border>
    <x:border diagonalUp="0" diagonalDown="0">
      <x:right style="medium">
        <x:color rgb="FF2F5597"/>
      </x:right>
      <x:top style="medium">
        <x:color rgb="FF2F5597"/>
      </x:top>
      <x:bottom style="medium">
        <x:color rgb="FF2F5597"/>
      </x:bottom>
    </x:border>
    <x:border diagonalUp="0" diagonalDown="0">
      <x:bottom style="thin">
        <x:color rgb="FFD9E2F3"/>
      </x:bottom>
    </x:border>
    <x:border diagonalUp="0" diagonalDown="0">
      <x:top style="thin">
        <x:color rgb="FFD9E2F3"/>
      </x:top>
      <x:bottom style="thin">
        <x:color rgb="FFD9E2F3"/>
      </x:bottom>
    </x:border>
    <x:border diagonalUp="0" diagonalDown="0">
      <x:top style="thin">
        <x:color rgb="FFD9E2F3"/>
      </x:top>
      <x:bottom style="thin">
        <x:color rgb="FFA6A6A6"/>
      </x:bottom>
    </x:border>
  </x:borders>
  <x:cellStyleXfs count="27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0" applyProtection="0"/>
    <x:xf numFmtId="167" fontId="4" fillId="0" borderId="0" applyFont="1" applyBorder="0" applyAlignment="0" applyProtection="0"/>
    <x:xf numFmtId="168" fontId="4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9" fontId="4" fillId="0" borderId="0" applyFont="1" applyBorder="0" applyAlignment="0" applyProtection="0"/>
  </x:cellStyleXfs>
  <x:cellXfs count="18">
    <x:xf numFmtId="164" fontId="0" fillId="0" borderId="0" xfId="0" applyFont="0" applyBorder="0" applyAlignment="0">
      <x:alignment horizontal="general" vertical="bottom" wrapText="0"/>
    </x:xf>
    <x:xf numFmtId="164" fontId="6" fillId="2" borderId="1" xfId="25" applyFont="1" applyBorder="1" applyAlignment="1">
      <x:alignment horizontal="center" vertical="center" wrapText="1"/>
    </x:xf>
    <x:xf numFmtId="164" fontId="6" fillId="2" borderId="2" xfId="25" applyFont="1" applyBorder="1" applyAlignment="1">
      <x:alignment horizontal="center" vertical="center" wrapText="1"/>
    </x:xf>
    <x:xf numFmtId="164" fontId="6" fillId="2" borderId="3" xfId="25" applyFont="1" applyBorder="1" applyAlignment="1">
      <x:alignment horizontal="center" vertical="center" wrapText="1"/>
    </x:xf>
    <x:xf numFmtId="164" fontId="5" fillId="0" borderId="4" xfId="25" applyFont="1" applyBorder="1" applyAlignment="1">
      <x:alignment horizontal="general" vertical="top" wrapText="1"/>
    </x:xf>
    <x:xf numFmtId="170" fontId="5" fillId="0" borderId="4" xfId="25" applyFont="1" applyBorder="1" applyAlignment="1">
      <x:alignment horizontal="right" vertical="top" wrapText="0"/>
    </x:xf>
    <x:xf numFmtId="164" fontId="5" fillId="3" borderId="5" xfId="25" applyFont="1" applyBorder="1" applyAlignment="1">
      <x:alignment horizontal="general" vertical="top" wrapText="1"/>
    </x:xf>
    <x:xf numFmtId="170" fontId="5" fillId="3" borderId="5" xfId="25" applyFont="1" applyBorder="1" applyAlignment="1">
      <x:alignment horizontal="right" vertical="top" wrapText="0"/>
    </x:xf>
    <x:xf numFmtId="164" fontId="5" fillId="0" borderId="5" xfId="25" applyFont="1" applyBorder="1" applyAlignment="1">
      <x:alignment horizontal="general" vertical="top" wrapText="1"/>
    </x:xf>
    <x:xf numFmtId="170" fontId="5" fillId="0" borderId="5" xfId="25" applyFont="1" applyBorder="1" applyAlignment="1">
      <x:alignment horizontal="right" vertical="top" wrapText="0"/>
    </x:xf>
    <x:xf numFmtId="164" fontId="5" fillId="0" borderId="6" xfId="25" applyFont="1" applyBorder="1" applyAlignment="1">
      <x:alignment horizontal="general" vertical="top" wrapText="1"/>
    </x:xf>
    <x:xf numFmtId="170" fontId="5" fillId="0" borderId="6" xfId="25" applyFont="1" applyBorder="1" applyAlignment="1">
      <x:alignment horizontal="right" vertical="top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70" fontId="0" fillId="0" borderId="0" xfId="0" applyNumberFormat="1" applyFont="1" applyFill="1" applyBorder="1" applyAlignment="1">
      <x:alignment horizontal="general" vertical="bottom" wrapText="0"/>
    </x:xf>
    <x:xf numFmtId="170" fontId="0" fillId="0" borderId="0" xfId="0" applyNumberFormat="1" applyFont="1" applyFill="1" applyBorder="1" applyAlignment="1">
      <x:alignment horizontal="right" vertical="bottom" wrapText="0"/>
    </x:xf>
    <x:xf numFmtId="170" fontId="0" fillId="0" borderId="0" xfId="0" applyNumberFormat="1" applyFont="1" applyFill="1" applyBorder="1" applyAlignment="1">
      <x:alignment horizontal="right" vertical="top" wrapText="0"/>
    </x:xf>
    <x:xf numFmtId="170" fontId="0" fillId="4" borderId="0" xfId="0" applyNumberFormat="1" applyFont="1" applyFill="1" applyBorder="1" applyAlignment="1">
      <x:alignment horizontal="right" vertical="top" wrapText="0"/>
    </x:xf>
  </x:cellXfs>
  <x:cellStyles count="13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[0]" xfId="21"/>
    <x:cellStyle name="Currency" xfId="22"/>
    <x:cellStyle name="Currency [0]" xfId="23"/>
    <x:cellStyle name="Normal" xfId="24"/>
    <x:cellStyle name="Normal 1" xfId="25"/>
    <x:cellStyle name="Percent" xfId="26"/>
  </x:cellStyles>
  <x:dxfs count="29">
    <x:dxf>
      <x:fill>
        <x:patternFill>
          <x:bgColor rgb="FF4472C4"/>
        </x:patternFill>
      </x:fill>
    </x:dxf>
    <x:dxf>
      <x:fill>
        <x:patternFill>
          <x:bgColor rgb="FFF4F7FB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63BE7B"/>
        </x:patternFill>
      </x:fill>
    </x:dxf>
    <x:dxf>
      <x:fill>
        <x:patternFill>
          <x:bgColor rgb="FF7EC67D"/>
        </x:patternFill>
      </x:fill>
    </x:dxf>
    <x:dxf>
      <x:fill>
        <x:patternFill>
          <x:bgColor rgb="FFFBB279"/>
        </x:patternFill>
      </x:fill>
    </x:dxf>
    <x:dxf>
      <x:fill>
        <x:patternFill>
          <x:bgColor rgb="FFFDD37F"/>
        </x:patternFill>
      </x:fill>
    </x:dxf>
    <x:dxf>
      <x:fill>
        <x:patternFill>
          <x:bgColor rgb="FFFEE683"/>
        </x:patternFill>
      </x:fill>
    </x:dxf>
    <x:dxf>
      <x:fill>
        <x:patternFill>
          <x:bgColor rgb="FFFEE883"/>
        </x:patternFill>
      </x:fill>
    </x:dxf>
    <x:dxf>
      <x:fill>
        <x:patternFill>
          <x:bgColor rgb="FFD9E182"/>
        </x:patternFill>
      </x:fill>
    </x:dxf>
    <x:dxf>
      <x:fill>
        <x:patternFill>
          <x:bgColor rgb="FFF8696B"/>
        </x:patternFill>
      </x:fill>
    </x:dxf>
    <x:dxf>
      <x:fill>
        <x:patternFill>
          <x:bgColor rgb="FFFCBF7B"/>
        </x:patternFill>
      </x:fill>
    </x:dxf>
    <x:dxf>
      <x:fill>
        <x:patternFill>
          <x:bgColor rgb="FFFCC07B"/>
        </x:patternFill>
      </x:fill>
    </x:dxf>
    <x:dxf>
      <x:fill>
        <x:patternFill>
          <x:bgColor rgb="FFFDD57F"/>
        </x:patternFill>
      </x:fill>
    </x:dxf>
    <x:dxf>
      <x:fill>
        <x:patternFill>
          <x:bgColor rgb="FFFEDB80"/>
        </x:patternFill>
      </x:fill>
    </x:dxf>
    <x:dxf>
      <x:fill>
        <x:patternFill>
          <x:bgColor rgb="FFF9806F"/>
        </x:patternFill>
      </x:fill>
    </x:dxf>
    <x:dxf>
      <x:fill>
        <x:patternFill>
          <x:bgColor rgb="FFFBAE78"/>
        </x:patternFill>
      </x:fill>
    </x:dxf>
    <x:dxf>
      <x:fill>
        <x:patternFill>
          <x:bgColor rgb="FFFDC87D"/>
        </x:patternFill>
      </x:fill>
    </x:dxf>
    <x:dxf>
      <x:fill>
        <x:patternFill>
          <x:bgColor rgb="FFFDCE7E"/>
        </x:patternFill>
      </x:fill>
    </x:dxf>
    <x:dxf>
      <x:fill>
        <x:patternFill>
          <x:bgColor rgb="FFFEDE81"/>
        </x:patternFill>
      </x:fill>
    </x:dxf>
    <x:dxf>
      <x:fill>
        <x:patternFill>
          <x:bgColor rgb="FFFEE382"/>
        </x:patternFill>
      </x:fill>
    </x:dxf>
    <x:dxf>
      <x:fill>
        <x:patternFill>
          <x:bgColor rgb="FFF86D6B"/>
        </x:patternFill>
      </x:fill>
    </x:dxf>
    <x:dxf>
      <x:fill>
        <x:patternFill>
          <x:bgColor rgb="FFF8776D"/>
        </x:patternFill>
      </x:fill>
    </x:dxf>
    <x:dxf>
      <x:fill>
        <x:patternFill>
          <x:bgColor rgb="FFFCB579"/>
        </x:patternFill>
      </x:fill>
    </x:dxf>
    <x:dxf>
      <x:fill>
        <x:patternFill>
          <x:bgColor rgb="FFFDCB7D"/>
        </x:patternFill>
      </x:fill>
    </x:dxf>
    <x:dxf>
      <x:fill>
        <x:patternFill>
          <x:bgColor rgb="FFFDCD7E"/>
        </x:patternFill>
      </x:fill>
    </x:dxf>
    <x:dxf>
      <x:fill>
        <x:patternFill>
          <x:bgColor rgb="FFFDD780"/>
        </x:patternFill>
      </x:fill>
    </x:dxf>
    <x:dxf>
      <x:fill>
        <x:patternFill>
          <x:bgColor rgb="FFFEDB81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4F7FB"/>
      <x:rgbColor rgb="FFCCFFFF"/>
      <x:rgbColor rgb="FF660066"/>
      <x:rgbColor rgb="FFFF8080"/>
      <x:rgbColor rgb="FF0066CC"/>
      <x:rgbColor rgb="FFD9E2F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4472C4"/>
      <x:rgbColor rgb="FF33CCCC"/>
      <x:rgbColor rgb="FF99CC00"/>
      <x:rgbColor rgb="FFFFCC00"/>
      <x:rgbColor rgb="FFFF9900"/>
      <x:rgbColor rgb="FFFF6600"/>
      <x:rgbColor rgb="FF666699"/>
      <x:rgbColor rgb="FFA6A6A6"/>
      <x:rgbColor rgb="FF003366"/>
      <x:rgbColor rgb="FF339966"/>
      <x:rgbColor rgb="FF003300"/>
      <x:rgbColor rgb="FF333300"/>
      <x:rgbColor rgb="FF993300"/>
      <x:rgbColor rgb="FF993366"/>
      <x:rgbColor rgb="FF2F5597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292f07f57843a6" /><Relationship Type="http://schemas.openxmlformats.org/officeDocument/2006/relationships/theme" Target="/xl/theme/theme1.xml" Id="R02fbac62b7d54d66" /><Relationship Type="http://schemas.openxmlformats.org/officeDocument/2006/relationships/sharedStrings" Target="/xl/sharedStrings.xml" Id="R67cad6115c644f70" /><Relationship Type="http://schemas.openxmlformats.org/officeDocument/2006/relationships/worksheet" Target="/xl/worksheets/sheet1.xml" Id="R9bcbfc827ce24989" /></Relationships>
</file>

<file path=xl/tables/table1.xml><?xml version="1.0" encoding="utf-8"?>
<x:table xmlns:x="http://schemas.openxmlformats.org/spreadsheetml/2006/main" id="1" name="ModelMetricsComparison" displayName="ModelMetricsComparison" ref="A1:O10" headerRowCount="1" totalsRowCount="0" totalsRowShown="0">
  <x:autoFilter ref="A1:O10"/>
  <x:tableColumns count="15">
    <x:tableColumn id="1" name="Модель"/>
    <x:tableColumn id="2" name="Датасет / протокол"/>
    <x:tableColumn id="3" name="Авторы: Accuracy"/>
    <x:tableColumn id="4" name="Авторы: Precision"/>
    <x:tableColumn id="5" name="Авторы: Recall"/>
    <x:tableColumn id="6" name="Авторы: F1"/>
    <x:tableColumn id="7" name="Мой: Accuracy"/>
    <x:tableColumn id="8" name="Мой: Precision"/>
    <x:tableColumn id="9" name="Мой: Recall"/>
    <x:tableColumn id="10" name="Мой: F1"/>
    <x:tableColumn id="11" name="Δ Accuracy"/>
    <x:tableColumn id="12" name="Δ Precision"/>
    <x:tableColumn id="13" name="Δ Recall"/>
    <x:tableColumn id="14" name="Δ F1"/>
    <x:tableColumn id="15" name="Предполагаемые причины расхождения"/>
  </x:tableColumns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7679a04b3b4d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48828125" defaultRowHeight="15"/>
  <x:cols>
    <x:col min="1" max="1" width="29" hidden="0" customWidth="1"/>
    <x:col min="2" max="2" width="42" hidden="0" customWidth="1"/>
    <x:col min="3" max="14" width="16" hidden="0" customWidth="1"/>
    <x:col min="15" max="15" width="58" hidden="0" customWidth="1"/>
  </x:cols>
  <x:sheetData>
    <x:row r="1" ht="30" hidden="0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3" t="s">
        <x:v>14</x:v>
      </x:c>
    </x:row>
    <x:row r="2" ht="37.599998474121094" hidden="0" customHeight="1">
      <x:c r="A2" s="4" t="s">
        <x:v>15</x:v>
      </x:c>
      <x:c r="B2" s="4" t="s">
        <x:v>16</x:v>
      </x:c>
      <x:c r="C2" s="5" t="n">
        <x:v>0.7917</x:v>
      </x:c>
      <x:c r="D2" s="5" t="n">
        <x:v>0.7956</x:v>
      </x:c>
      <x:c r="E2" s="5" t="n">
        <x:v>0.7899</x:v>
      </x:c>
      <x:c r="F2" s="5" t="n">
        <x:v>0.7887</x:v>
      </x:c>
      <x:c r="G2" s="5" t="n">
        <x:v>0.9496964441</x:v>
      </x:c>
      <x:c r="H2" s="5" t="n">
        <x:v>0.8341579926</x:v>
      </x:c>
      <x:c r="I2" s="5" t="n">
        <x:v>0.6459195682</x:v>
      </x:c>
      <x:c r="J2" s="5" t="n">
        <x:v>0.7059864431</x:v>
      </x:c>
      <x:c r="K2" s="5" t="n">
        <x:f aca="0">IF(OR(C2="",G2=""),"",G2-C2)</x:f>
        <x:v>0.15799644410000002</x:v>
      </x:c>
      <x:c r="L2" s="5" t="n">
        <x:f aca="0">IF(OR(D2="",H2=""),"",H2-D2)</x:f>
        <x:v>0.038557992600000035</x:v>
      </x:c>
      <x:c r="M2" s="5" t="n">
        <x:f aca="0">IF(OR(E2="",I2=""),"",I2-E2)</x:f>
        <x:v>-0.14398043180000009</x:v>
      </x:c>
      <x:c r="N2" s="5" t="n">
        <x:f aca="0">IF(OR(F2="",J2=""),"",J2-F2)</x:f>
        <x:v>-0.08271355689999993</x:v>
      </x:c>
      <x:c r="O2" s="4" t="s">
        <x:v>17</x:v>
      </x:c>
    </x:row>
    <x:row r="3" ht="40.95000076293945" hidden="0" customHeight="1">
      <x:c r="A3" s="6" t="s">
        <x:v>18</x:v>
      </x:c>
      <x:c r="B3" s="6" t="s">
        <x:v>19</x:v>
      </x:c>
      <x:c r="C3" s="7" t="n">
        <x:v>0.8114</x:v>
      </x:c>
      <x:c r="D3" s="7" t="n">
        <x:v>0.8255</x:v>
      </x:c>
      <x:c r="E3" s="7" t="n">
        <x:v>0.8115</x:v>
      </x:c>
      <x:c r="F3" s="7" t="n">
        <x:v>0.8129</x:v>
      </x:c>
      <x:c r="G3" s="7" t="n">
        <x:v>0.9423532813</x:v>
      </x:c>
      <x:c r="H3" s="7" t="n">
        <x:v>0.6489157538</x:v>
      </x:c>
      <x:c r="I3" s="7" t="n">
        <x:v>0.7596512398</x:v>
      </x:c>
      <x:c r="J3" s="7" t="n">
        <x:v>0.689998663</x:v>
      </x:c>
      <x:c r="K3" s="7" t="n">
        <x:f aca="0">IF(OR(C3="",G3=""),"",G3-C3)</x:f>
        <x:v>0.13095328129999995</x:v>
      </x:c>
      <x:c r="L3" s="7" t="n">
        <x:f aca="0">IF(OR(D3="",H3=""),"",H3-D3)</x:f>
        <x:v>-0.17658424620000002</x:v>
      </x:c>
      <x:c r="M3" s="7" t="n">
        <x:f aca="0">IF(OR(E3="",I3=""),"",I3-E3)</x:f>
        <x:v>-0.051848760199999955</x:v>
      </x:c>
      <x:c r="N3" s="7" t="n">
        <x:f aca="0">IF(OR(F3="",J3=""),"",J3-F3)</x:f>
        <x:v>-0.12290133699999994</x:v>
      </x:c>
      <x:c r="O3" s="6" t="s">
        <x:v>20</x:v>
      </x:c>
    </x:row>
    <x:row r="4" ht="42" hidden="0" customHeight="1">
      <x:c r="A4" s="8" t="s">
        <x:v>21</x:v>
      </x:c>
      <x:c r="B4" s="8" t="s">
        <x:v>22</x:v>
      </x:c>
      <x:c r="C4" s="9" t="n">
        <x:v>0.977</x:v>
      </x:c>
      <x:c r="D4" s="9" t="n">
        <x:v>0.946</x:v>
      </x:c>
      <x:c r="E4" s="9" t="n">
        <x:v>0.912</x:v>
      </x:c>
      <x:c r="F4" s="9" t="n">
        <x:v>0.962</x:v>
      </x:c>
      <x:c r="G4" s="9" t="n">
        <x:v>0.9668979474</x:v>
      </x:c>
      <x:c r="H4" s="9" t="n">
        <x:v>0.8804275468</x:v>
      </x:c>
      <x:c r="I4" s="9" t="n">
        <x:v>0.794888062</x:v>
      </x:c>
      <x:c r="J4" s="9" t="n">
        <x:v>0.8314339052</x:v>
      </x:c>
      <x:c r="K4" s="9" t="n">
        <x:f aca="0">IF(OR(C4="",G4=""),"",G4-C4)</x:f>
        <x:v>-0.010102052599999967</x:v>
      </x:c>
      <x:c r="L4" s="9" t="n">
        <x:f aca="0">IF(OR(D4="",H4=""),"",H4-D4)</x:f>
        <x:v>-0.06557245319999994</x:v>
      </x:c>
      <x:c r="M4" s="9" t="n">
        <x:f aca="0">IF(OR(E4="",I4=""),"",I4-E4)</x:f>
        <x:v>-0.11711193800000008</x:v>
      </x:c>
      <x:c r="N4" s="9" t="n">
        <x:f aca="0">IF(OR(F4="",J4=""),"",J4-F4)</x:f>
        <x:v>-0.13056609479999992</x:v>
      </x:c>
      <x:c r="O4" s="8" t="s">
        <x:v>23</x:v>
      </x:c>
    </x:row>
    <x:row r="5" ht="66" hidden="0" customHeight="1">
      <x:c r="A5" s="6" t="s">
        <x:v>24</x:v>
      </x:c>
      <x:c r="B5" s="6" t="s">
        <x:v>25</x:v>
      </x:c>
      <x:c r="C5" s="7" t="n">
        <x:v>0.9988</x:v>
      </x:c>
      <x:c r="D5" s="7" t="n">
        <x:v>0.9956</x:v>
      </x:c>
      <x:c r="E5" s="7" t="n">
        <x:v>0.99</x:v>
      </x:c>
      <x:c r="F5" s="7" t="n">
        <x:v>0.9983</x:v>
      </x:c>
      <x:c r="G5" s="7" t="n">
        <x:v>0.9024390244</x:v>
      </x:c>
      <x:c r="H5" s="7" t="n">
        <x:v>0.4578177412</x:v>
      </x:c>
      <x:c r="I5" s="7" t="n">
        <x:v>0.5500783424</x:v>
      </x:c>
      <x:c r="J5" s="7" t="n">
        <x:v>0.4785992066</x:v>
      </x:c>
      <x:c r="K5" s="7" t="n">
        <x:f aca="0">IF(OR(C5="",G5=""),"",G5-C5)</x:f>
        <x:v>-0.09636097560000001</x:v>
      </x:c>
      <x:c r="L5" s="7" t="n">
        <x:f aca="0">IF(OR(D5="",H5=""),"",H5-D5)</x:f>
        <x:v>-0.5377822588000001</x:v>
      </x:c>
      <x:c r="M5" s="7" t="n">
        <x:f aca="0">IF(OR(E5="",I5=""),"",I5-E5)</x:f>
        <x:v>-0.4399216576</x:v>
      </x:c>
      <x:c r="N5" s="7" t="n">
        <x:f aca="0">IF(OR(F5="",J5=""),"",J5-F5)</x:f>
        <x:v>-0.5197007934</x:v>
      </x:c>
      <x:c r="O5" s="6" t="s">
        <x:v>26</x:v>
      </x:c>
    </x:row>
    <x:row r="6" ht="66" hidden="0" customHeight="1">
      <x:c r="A6" s="8" t="s">
        <x:v>27</x:v>
      </x:c>
      <x:c r="B6" s="8" t="s">
        <x:v>28</x:v>
      </x:c>
      <x:c r="C6" s="9" t="n">
        <x:v>0.9872</x:v>
      </x:c>
      <x:c r="D6" s="9"/>
      <x:c r="E6" s="9"/>
      <x:c r="F6" s="9" t="n">
        <x:v>0.9861</x:v>
      </x:c>
      <x:c r="G6" s="9" t="n">
        <x:v>0.7536489734</x:v>
      </x:c>
      <x:c r="H6" s="9" t="n">
        <x:v>0.5232008921</x:v>
      </x:c>
      <x:c r="I6" s="9" t="n">
        <x:v>0.6061249993</x:v>
      </x:c>
      <x:c r="J6" s="9" t="n">
        <x:v>0.5087141718</x:v>
      </x:c>
      <x:c r="K6" s="9" t="n">
        <x:f aca="0">IF(OR(C6="",G6=""),"",G6-C6)</x:f>
        <x:v>-0.23355102659999993</x:v>
      </x:c>
      <x:c r="L6" s="9" t="str">
        <x:f aca="0">IF(OR(D6="",H6=""),"",H6-D6)</x:f>
      </x:c>
      <x:c r="M6" s="9" t="str">
        <x:f aca="0">IF(OR(E6="",I6=""),"",I6-E6)</x:f>
      </x:c>
      <x:c r="N6" s="9" t="n">
        <x:f aca="0">IF(OR(F6="",J6=""),"",J6-F6)</x:f>
        <x:v>-0.4773858282</x:v>
      </x:c>
      <x:c r="O6" s="8" t="s">
        <x:v>29</x:v>
      </x:c>
    </x:row>
    <x:row r="7" ht="66" hidden="0" customHeight="1">
      <x:c r="A7" s="6" t="s">
        <x:v>30</x:v>
      </x:c>
      <x:c r="B7" s="6" t="s">
        <x:v>31</x:v>
      </x:c>
      <x:c r="C7" s="7" t="n">
        <x:v>0.9712</x:v>
      </x:c>
      <x:c r="D7" s="7" t="n">
        <x:v>0.9611</x:v>
      </x:c>
      <x:c r="E7" s="7" t="n">
        <x:v>0.9623</x:v>
      </x:c>
      <x:c r="F7" s="7" t="n">
        <x:v>0.9617</x:v>
      </x:c>
      <x:c r="G7" s="7" t="n">
        <x:v>0.9542642382</x:v>
      </x:c>
      <x:c r="H7" s="7" t="n">
        <x:v>0.7795622346</x:v>
      </x:c>
      <x:c r="I7" s="7" t="n">
        <x:v>0.7112460508</x:v>
      </x:c>
      <x:c r="J7" s="7" t="n">
        <x:v>0.7384687412</x:v>
      </x:c>
      <x:c r="K7" s="7" t="n">
        <x:f aca="0">IF(OR(C7="",G7=""),"",G7-C7)</x:f>
        <x:v>-0.016935761800000004</x:v>
      </x:c>
      <x:c r="L7" s="7" t="n">
        <x:f aca="0">IF(OR(D7="",H7=""),"",H7-D7)</x:f>
        <x:v>-0.1815377654</x:v>
      </x:c>
      <x:c r="M7" s="7" t="n">
        <x:f aca="0">IF(OR(E7="",I7=""),"",I7-E7)</x:f>
        <x:v>-0.2510539492</x:v>
      </x:c>
      <x:c r="N7" s="7" t="n">
        <x:f aca="0">IF(OR(F7="",J7=""),"",J7-F7)</x:f>
        <x:v>-0.22323125880000005</x:v>
      </x:c>
      <x:c r="O7" s="6" t="s">
        <x:v>32</x:v>
      </x:c>
    </x:row>
    <x:row r="8" ht="66" hidden="0" customHeight="1">
      <x:c r="A8" s="10" t="s">
        <x:v>33</x:v>
      </x:c>
      <x:c r="B8" s="10" t="s">
        <x:v>34</x:v>
      </x:c>
      <x:c r="C8" s="11" t="n">
        <x:v>0.98</x:v>
      </x:c>
      <x:c r="D8" s="11" t="n">
        <x:v>0.909</x:v>
      </x:c>
      <x:c r="E8" s="11" t="n">
        <x:v>0.885</x:v>
      </x:c>
      <x:c r="F8" s="11" t="n">
        <x:v>0.895</x:v>
      </x:c>
      <x:c r="G8" s="11" t="n">
        <x:v>0.9621566927</x:v>
      </x:c>
      <x:c r="H8" s="11" t="n">
        <x:v>0.8219448248</x:v>
      </x:c>
      <x:c r="I8" s="11" t="n">
        <x:v>0.8534369599</x:v>
      </x:c>
      <x:c r="J8" s="11" t="n">
        <x:v>0.8324200938</x:v>
      </x:c>
      <x:c r="K8" s="11" t="n">
        <x:f aca="0">IF(OR(C8="",G8=""),"",G8-C8)</x:f>
        <x:v>-0.017843307299999944</x:v>
      </x:c>
      <x:c r="L8" s="11" t="n">
        <x:f aca="0">IF(OR(D8="",H8=""),"",H8-D8)</x:f>
        <x:v>-0.08705517520000006</x:v>
      </x:c>
      <x:c r="M8" s="11" t="n">
        <x:f aca="0">IF(OR(E8="",I8=""),"",I8-E8)</x:f>
        <x:v>-0.031563040099999995</x:v>
      </x:c>
      <x:c r="N8" s="11" t="n">
        <x:f aca="0">IF(OR(F8="",J8=""),"",J8-F8)</x:f>
        <x:v>-0.06257990619999998</x:v>
      </x:c>
      <x:c r="O8" s="10" t="s">
        <x:v>35</x:v>
      </x:c>
    </x:row>
    <x:row r="9" ht="68" hidden="0" customHeight="1">
      <x:c r="A9" s="13" t="str">
        <x:v>ClimEx (ResNet-18)</x:v>
      </x:c>
      <x:c r="B9" s="13" t="str">
        <x:v>WM-811K; 10% labeled train (13 836) + 638 507 unlabeled; stratified 80/10/10; 96×96</x:v>
      </x:c>
      <x:c r="C9" s="16"/>
      <x:c r="D9" s="16"/>
      <x:c r="E9" s="16"/>
      <x:c r="F9" s="16" t="n">
        <x:v>0.842</x:v>
      </x:c>
      <x:c r="G9" s="16" t="n">
        <x:v>0.9684880023128072</x:v>
      </x:c>
      <x:c r="H9" s="16" t="n">
        <x:v>0.882781936102311</x:v>
      </x:c>
      <x:c r="I9" s="16" t="n">
        <x:v>0.779646802436466</x:v>
      </x:c>
      <x:c r="J9" s="16" t="n">
        <x:v>0.8195383779719039</x:v>
      </x:c>
      <x:c r="K9" s="16"/>
      <x:c r="L9" s="16"/>
      <x:c r="M9" s="16"/>
      <x:c r="N9" s="17" t="n">
        <x:f>IF(OR(F9="",J9=""),"",J9-F9)</x:f>
        <x:v>-0.022461622028096095</x:v>
      </x:c>
      <x:c r="O9" s="13" t="str">
        <x:v>Основные причины: статья не задаёт параметры rotation, cutout и noise; неясно, считаются ли динамические пороги по всему unlabeled-набору или по окну итераций. У нас использовано окно 512 итераций, один seed вместо среднего по 10 запускам и постоянный LR.</x:v>
      </x:c>
    </x:row>
    <x:row r="10" ht="66" hidden="0" customHeight="1"/>
    <x:row r="11" ht="66" hidden="0" customHeight="1"/>
    <x:row r="12" ht="66" hidden="0" customHeight="1"/>
    <x:row r="13" ht="66" hidden="0" customHeight="1"/>
    <x:row r="15" ht="36" hidden="0" customHeight="1"/>
  </x:sheetData>
  <x:conditionalFormatting sqref="K2:N8">
    <x:cfRule type="colorScale" priority="2">
      <x:colorScale>
        <x:cfvo type="min" val="0"/>
        <x:cfvo type="num" val="0"/>
        <x:cfvo type="max" val="0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27679a04b3b4d15"/>
  </x:tableParts>
</x:worksheet>
</file>